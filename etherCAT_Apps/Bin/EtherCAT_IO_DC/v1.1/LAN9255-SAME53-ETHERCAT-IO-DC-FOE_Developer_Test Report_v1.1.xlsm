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4470D2CD-2249-CD33-4A35-6F278624656F}"/>
  <workbookPr codeName="ThisWorkbook" defaultThemeVersion="166925"/>
  <mc:AlternateContent xmlns:mc="http://schemas.openxmlformats.org/markup-compatibility/2006">
    <mc:Choice Requires="x15">
      <x15ac:absPath xmlns:x15ac="http://schemas.microsoft.com/office/spreadsheetml/2010/11/ac" url="D:\Perforce\depot_hw_jutland2\lan9255_firmware_releases\EtherCAT Firmware\EtherCAT_IO_DC\v0.71\"/>
    </mc:Choice>
  </mc:AlternateContent>
  <xr:revisionPtr revIDLastSave="0" documentId="13_ncr:1_{0B331BEE-4311-4278-80A6-E118BBEEB133}" xr6:coauthVersionLast="45" xr6:coauthVersionMax="45" xr10:uidLastSave="{00000000-0000-0000-0000-000000000000}"/>
  <bookViews>
    <workbookView xWindow="-110" yWindow="-110" windowWidth="19420" windowHeight="10420" xr2:uid="{AC180322-8BF8-4415-B897-5EC433978175}"/>
  </bookViews>
  <sheets>
    <sheet name="Revision History" sheetId="6" r:id="rId1"/>
    <sheet name="Test Summary" sheetId="7" r:id="rId2"/>
    <sheet name="Introduction" sheetId="4" r:id="rId3"/>
    <sheet name="Test Setup" sheetId="5" r:id="rId4"/>
    <sheet name="Test Cases" sheetId="3" r:id="rId5"/>
    <sheet name="Help" sheetId="10" state="hidden" r:id="rId6"/>
    <sheet name="MasterKeysList" sheetId="9" state="hidden" r:id="rId7"/>
  </sheets>
  <externalReferences>
    <externalReference r:id="rId8"/>
  </externalReferences>
  <definedNames>
    <definedName name="_xlnm._FilterDatabase" localSheetId="4" hidden="1">'Test Cases'!$A$1:$I$2</definedName>
    <definedName name="_Toc466384574" localSheetId="2">Introduction!$A$29</definedName>
    <definedName name="_Toc531621199" localSheetId="2">Introduction!$A$17</definedName>
    <definedName name="_Toc531621203" localSheetId="2">Introduction!$A$34</definedName>
    <definedName name="_Toc531621208" localSheetId="2">Introduction!$A$39</definedName>
    <definedName name="ExternalData_1" localSheetId="6" hidden="1">MasterKeysList!$A$1:$A$2</definedName>
    <definedName name="listdata">[1]Sheet2!$A$1:$A$5</definedName>
    <definedName name="MasterKeysTable_Product_Family">#REF!</definedName>
    <definedName name="MasterKeysTable_Usecases">#REF!</definedName>
    <definedName name="MasterkeyTable_Test_Categories">#REF!</definedName>
    <definedName name="Tablepath">#REF!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 i="7" l="1"/>
  <c r="B12" i="7" l="1"/>
  <c r="B14" i="7"/>
  <c r="B15" i="7" l="1"/>
  <c r="B13" i="7" l="1"/>
  <c r="B18" i="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7D1AC5-8562-4518-B4DE-6EEE16C456CC}" keepAlive="1" name="Connection" type="5" refreshedVersion="0" background="1">
    <dbPr connection="Provider=Microsoft.Mashup.OleDb.1;Data Source=$Workbook$;Location=MasterKeysTable;Extended Properties=&quot;&quot;" commandType="0"/>
  </connection>
  <connection id="2" xr16:uid="{75CF05B7-B89C-4733-94D6-07031A8F9E98}" keepAlive="1" name="Connection1" type="5" refreshedVersion="0" background="1">
    <dbPr connection="Provider=Microsoft.Mashup.OleDb.1;Data Source=$Workbook$;Location=MasterKeysTable;Extended Properties=&quot;&quot;" commandType="0"/>
  </connection>
  <connection id="3" xr16:uid="{33A76545-869F-4E5E-A3CF-DA51B96FFFEF}" keepAlive="1" name="Connection10" type="5" refreshedVersion="0" background="1">
    <dbPr connection="Provider=Microsoft.Mashup.OleDb.1;Data Source=$Workbook$;Location=MasterKeysTable;Extended Properties=&quot;&quot;" commandType="0"/>
  </connection>
  <connection id="4" xr16:uid="{483EBD49-B2F3-484B-A363-66BDA5BD5526}" keepAlive="1" name="Connection11" type="5" refreshedVersion="0" background="1">
    <dbPr connection="Provider=Microsoft.Mashup.OleDb.1;Data Source=$Workbook$;Location=MasterKeysTable;Extended Properties=&quot;&quot;" commandType="0"/>
  </connection>
  <connection id="5" xr16:uid="{D193E77F-7DC3-4E19-9A3C-C9EFD0457C40}" keepAlive="1" name="Connection12" type="5" refreshedVersion="0" background="1">
    <dbPr connection="Provider=Microsoft.Mashup.OleDb.1;Data Source=$Workbook$;Location=MasterKeysTable;Extended Properties=&quot;&quot;" commandType="0"/>
  </connection>
  <connection id="6" xr16:uid="{7EA4F560-3412-4F70-810F-306F9256729F}" keepAlive="1" name="Connection13" type="5" refreshedVersion="0" background="1">
    <dbPr connection="Provider=Microsoft.Mashup.OleDb.1;Data Source=$Workbook$;Location=MasterKeysTable;Extended Properties=&quot;&quot;" commandType="0"/>
  </connection>
  <connection id="7" xr16:uid="{EAE8D776-C50B-42FF-B55B-97EC26EEB5E8}" keepAlive="1" name="Connection14" type="5" refreshedVersion="0" background="1">
    <dbPr connection="Provider=Microsoft.Mashup.OleDb.1;Data Source=$Workbook$;Location=MasterKeysTable;Extended Properties=&quot;&quot;" commandType="0"/>
  </connection>
  <connection id="8" xr16:uid="{F1993B80-6B51-44B3-A6A5-BDE8BF95CD7F}" keepAlive="1" name="Connection15" type="5" refreshedVersion="0" background="1">
    <dbPr connection="Provider=Microsoft.Mashup.OleDb.1;Data Source=$Workbook$;Location=MasterKeysTable;Extended Properties=&quot;&quot;" commandType="0"/>
  </connection>
  <connection id="9" xr16:uid="{CE8527E9-F548-4F3F-B86A-39DEC1F298BC}" keepAlive="1" name="Connection16" type="5" refreshedVersion="0" background="1">
    <dbPr connection="Provider=Microsoft.Mashup.OleDb.1;Data Source=$Workbook$;Location=MasterKeysTable;Extended Properties=&quot;&quot;" commandType="0"/>
  </connection>
  <connection id="10" xr16:uid="{0D46FC5B-2E2C-40FE-B9C6-7D312335E104}" keepAlive="1" name="Connection17" type="5" refreshedVersion="0" background="1">
    <dbPr connection="Provider=Microsoft.Mashup.OleDb.1;Data Source=$Workbook$;Location=MasterKeysTable;Extended Properties=&quot;&quot;" commandType="0"/>
  </connection>
  <connection id="11" xr16:uid="{01E9DA5A-53B0-49CF-A604-4870220698DC}" keepAlive="1" name="Connection18" type="5" refreshedVersion="6" background="1" saveData="1">
    <dbPr connection="Provider=Microsoft.Mashup.OleDb.1;Data Source=$Workbook$;Location=MasterKeysTable;Extended Properties=&quot;&quot;" command="SELECT * FROM [MasterKeysTable]"/>
  </connection>
  <connection id="12" xr16:uid="{8654C6D3-991A-4374-A427-E99B2792ACD7}" keepAlive="1" name="Connection19" type="5" refreshedVersion="0" background="1">
    <dbPr connection="Provider=Microsoft.Mashup.OleDb.1;Data Source=$Workbook$;Location=MasterKeysTable;Extended Properties=&quot;&quot;" commandType="0"/>
  </connection>
  <connection id="13" xr16:uid="{BD8E6842-DC6C-4426-9ED5-08CADFB068CD}" keepAlive="1" name="Connection2" type="5" refreshedVersion="0" background="1">
    <dbPr connection="Provider=Microsoft.Mashup.OleDb.1;Data Source=$Workbook$;Location=MasterKeysTable;Extended Properties=&quot;&quot;" commandType="0"/>
  </connection>
  <connection id="14" xr16:uid="{A647F236-6E78-49D7-B871-C9DAF61BC60B}" keepAlive="1" name="Connection20" type="5" refreshedVersion="6" background="1" refreshOnLoad="1" saveData="1">
    <dbPr connection="Provider=Microsoft.Mashup.OleDb.1;Data Source=$Workbook$;Location=MasterKeysTable;Extended Properties=&quot;&quot;" command="SELECT * FROM [MasterKeysTable]"/>
  </connection>
  <connection id="15" xr16:uid="{5B5C5929-7A0F-44C8-AC58-A206E6B14284}" keepAlive="1" name="Connection21" type="5" refreshedVersion="6" background="1" refreshOnLoad="1" saveData="1">
    <dbPr connection="Provider=Microsoft.Mashup.OleDb.1;Data Source=$Workbook$;Location=MasterKeysTable;Extended Properties=&quot;&quot;" command="SELECT * FROM [MasterKeysTable]"/>
  </connection>
  <connection id="16" xr16:uid="{CE8271F2-3BFC-4C08-9CE7-3513DCDDBFC7}" keepAlive="1" name="Connection22" type="5" refreshedVersion="6" background="1" refreshOnLoad="1" saveData="1">
    <dbPr connection="Provider=Microsoft.Mashup.OleDb.1;Data Source=$Workbook$;Location=MasterKeysTable;Extended Properties=&quot;&quot;" command="SELECT * FROM [MasterKeysTable]"/>
  </connection>
  <connection id="17" xr16:uid="{E8BD8DB2-C32E-4C32-AB7D-F3C13AC4E9D0}" keepAlive="1" name="Connection23" type="5" refreshedVersion="6" background="1" refreshOnLoad="1" saveData="1">
    <dbPr connection="Provider=Microsoft.Mashup.OleDb.1;Data Source=$Workbook$;Location=MasterKeysTable;Extended Properties=&quot;&quot;" command="SELECT * FROM [MasterKeysTable]"/>
  </connection>
  <connection id="18" xr16:uid="{8B17B272-E4D5-40D7-83E0-B9A95CD0CEC7}" keepAlive="1" name="Connection24" type="5" refreshedVersion="6" background="1" refreshOnLoad="1" saveData="1">
    <dbPr connection="Provider=Microsoft.Mashup.OleDb.1;Data Source=$Workbook$;Location=MasterKeysTable;Extended Properties=&quot;&quot;" command="SELECT * FROM [MasterKeysTable]"/>
  </connection>
  <connection id="19" xr16:uid="{3C1027EF-CFEF-48DE-AE82-D42C73921BCF}" keepAlive="1" name="Connection25" type="5" refreshedVersion="6" background="1" refreshOnLoad="1" saveData="1">
    <dbPr connection="Provider=Microsoft.Mashup.OleDb.1;Data Source=$Workbook$;Location=MasterKeysTable;Extended Properties=&quot;&quot;" command="SELECT * FROM [MasterKeysTable]"/>
  </connection>
  <connection id="20" xr16:uid="{9B174EC3-16F6-4997-B030-A461281C796F}" keepAlive="1" name="Connection26" type="5" refreshedVersion="6" background="1" refreshOnLoad="1" saveData="1">
    <dbPr connection="Provider=Microsoft.Mashup.OleDb.1;Data Source=$Workbook$;Location=MasterKeysTable;Extended Properties=&quot;&quot;" command="SELECT * FROM [MasterKeysTable]"/>
  </connection>
  <connection id="21" xr16:uid="{F0679A5E-EBB0-437F-8E72-5DC58AC3D924}" keepAlive="1" name="Connection27" type="5" refreshedVersion="6" background="1" refreshOnLoad="1" saveData="1">
    <dbPr connection="Provider=Microsoft.Mashup.OleDb.1;Data Source=$Workbook$;Location=MasterKeysTable;Extended Properties=&quot;&quot;" command="SELECT * FROM [MasterKeysTable]"/>
  </connection>
  <connection id="22" xr16:uid="{26742320-BBD7-4CB7-BF57-D7A12EC1C042}" keepAlive="1" name="Connection28" type="5" refreshedVersion="6" background="1" refreshOnLoad="1" saveData="1">
    <dbPr connection="Provider=Microsoft.Mashup.OleDb.1;Data Source=$Workbook$;Location=MasterKeysTable;Extended Properties=&quot;&quot;" command="SELECT * FROM [MasterKeysTable]"/>
  </connection>
  <connection id="23" xr16:uid="{E7EDC393-30DA-4B97-BF2A-27E5A7A4910B}" keepAlive="1" name="Connection29" type="5" refreshedVersion="6" background="1" refreshOnLoad="1" saveData="1">
    <dbPr connection="Provider=Microsoft.Mashup.OleDb.1;Data Source=$Workbook$;Location=MasterKeysTable;Extended Properties=&quot;&quot;" command="SELECT * FROM [MasterKeysTable]"/>
  </connection>
  <connection id="24" xr16:uid="{15EDBA1E-E204-4BBE-8F59-5275B1C26AD6}" keepAlive="1" name="Connection3" type="5" refreshedVersion="0" background="1">
    <dbPr connection="Provider=Microsoft.Mashup.OleDb.1;Data Source=$Workbook$;Location=MasterKeysTable;Extended Properties=&quot;&quot;" commandType="0"/>
  </connection>
  <connection id="25" xr16:uid="{6D393756-F66A-4F37-903C-9A4E6D44F6AC}" keepAlive="1" name="Connection30" type="5" refreshedVersion="6" background="1" refreshOnLoad="1" saveData="1">
    <dbPr connection="Provider=Microsoft.Mashup.OleDb.1;Data Source=$Workbook$;Location=MasterKeysTable;Extended Properties=&quot;&quot;" command="SELECT * FROM [MasterKeysTable]"/>
  </connection>
  <connection id="26" xr16:uid="{DAC36270-0772-435A-9D69-C2904828582D}" keepAlive="1" name="Connection31" type="5" refreshedVersion="0" background="1" refreshOnLoad="1" saveData="1">
    <dbPr connection="Provider=Microsoft.Mashup.OleDb.1;Data Source=$Workbook$;Location=MasterKeysTable;Extended Properties=&quot;&quot;" command="SELECT * FROM [MasterKeysTable]"/>
  </connection>
  <connection id="27" xr16:uid="{6FCBBC46-796E-454A-AED9-401A59112C16}" keepAlive="1" name="Connection32" type="5" refreshedVersion="0" background="1" refreshOnLoad="1" saveData="1">
    <dbPr connection="Provider=Microsoft.Mashup.OleDb.1;Data Source=$Workbook$;Location=MasterKeysTable;Extended Properties=&quot;&quot;" command="SELECT * FROM [MasterKeysTable]"/>
  </connection>
  <connection id="28" xr16:uid="{A562AF6B-1718-42B4-972D-EF9C25E4CD7B}" keepAlive="1" name="Connection33" type="5" refreshedVersion="0" background="1" refreshOnLoad="1" saveData="1">
    <dbPr connection="Provider=Microsoft.Mashup.OleDb.1;Data Source=$Workbook$;Location=MasterKeysTable;Extended Properties=&quot;&quot;" command="SELECT * FROM [MasterKeysTable]"/>
  </connection>
  <connection id="29" xr16:uid="{1D7BEBC6-7E58-48AF-8F81-637474B4D337}" keepAlive="1" name="Connection34" type="5" refreshedVersion="6" background="1" refreshOnLoad="1" saveData="1">
    <dbPr connection="Provider=Microsoft.Mashup.OleDb.1;Data Source=$Workbook$;Location=MasterKeysTable;Extended Properties=&quot;&quot;" command="SELECT * FROM [MasterKeysTable]"/>
  </connection>
  <connection id="30" xr16:uid="{5C4F4E1C-B112-450B-902C-E6DA47C389E7}" keepAlive="1" name="Connection35" type="5" refreshedVersion="6" background="1" refreshOnLoad="1" saveData="1">
    <dbPr connection="Provider=Microsoft.Mashup.OleDb.1;Data Source=$Workbook$;Location=MasterKeysTable;Extended Properties=&quot;&quot;" command="SELECT * FROM [MasterKeysTable]"/>
  </connection>
  <connection id="31" xr16:uid="{85FA7DB2-D784-4D3C-8B82-B421EA6D13DD}" keepAlive="1" name="Connection36" type="5" refreshedVersion="6" background="1" refreshOnLoad="1" saveData="1">
    <dbPr connection="Provider=Microsoft.Mashup.OleDb.1;Data Source=$Workbook$;Location=MasterKeysTable;Extended Properties=&quot;&quot;" command="SELECT * FROM [MasterKeysTable]"/>
  </connection>
  <connection id="32" xr16:uid="{4F6E2E0C-B7D8-4566-823E-9466F0D335A1}" keepAlive="1" name="Connection37" type="5" refreshedVersion="6" background="1" refreshOnLoad="1" saveData="1">
    <dbPr connection="Provider=Microsoft.Mashup.OleDb.1;Data Source=$Workbook$;Location=MasterKeysTable;Extended Properties=&quot;&quot;" command="SELECT * FROM [MasterKeysTable]"/>
  </connection>
  <connection id="33" xr16:uid="{CBF1B242-3B90-4FC8-AED5-9A861CD04C48}" keepAlive="1" name="Connection38" type="5" refreshedVersion="6" background="1" refreshOnLoad="1" saveData="1">
    <dbPr connection="Provider=Microsoft.Mashup.OleDb.1;Data Source=$Workbook$;Location=MasterKeysTable;Extended Properties=&quot;&quot;" command="SELECT * FROM [MasterKeysTable]"/>
  </connection>
  <connection id="34" xr16:uid="{96D40A1C-8C16-4615-86F0-6DA05B89D482}" keepAlive="1" name="Connection39" type="5" refreshedVersion="6" background="1" refreshOnLoad="1" saveData="1">
    <dbPr connection="Provider=Microsoft.Mashup.OleDb.1;Data Source=$Workbook$;Location=MasterKeysTable;Extended Properties=&quot;&quot;" command="SELECT * FROM [MasterKeysTable]"/>
  </connection>
  <connection id="35" xr16:uid="{CC91CF08-A635-441A-8DCE-761F2935511C}" keepAlive="1" name="Connection4" type="5" refreshedVersion="0" background="1">
    <dbPr connection="Provider=Microsoft.Mashup.OleDb.1;Data Source=$Workbook$;Location=MasterKeysTable;Extended Properties=&quot;&quot;" commandType="0"/>
  </connection>
  <connection id="36" xr16:uid="{5556A60B-A481-463A-9C6D-9AA3DB1409A8}" keepAlive="1" name="Connection40" type="5" refreshedVersion="6" background="1" refreshOnLoad="1" saveData="1">
    <dbPr connection="Provider=Microsoft.Mashup.OleDb.1;Data Source=$Workbook$;Location=MasterKeysTable;Extended Properties=&quot;&quot;" command="SELECT * FROM [MasterKeysTable]"/>
  </connection>
  <connection id="37" xr16:uid="{34D487D0-E259-4C9F-9FC5-8FA1C5D4F7CB}" keepAlive="1" name="Connection41" type="5" refreshedVersion="6" background="1" refreshOnLoad="1" saveData="1">
    <dbPr connection="Provider=Microsoft.Mashup.OleDb.1;Data Source=$Workbook$;Location=MasterKeysTable;Extended Properties=&quot;&quot;" command="SELECT * FROM [MasterKeysTable]"/>
  </connection>
  <connection id="38" xr16:uid="{A0A82910-C099-41B7-B38B-23799A667400}" keepAlive="1" name="Connection42" type="5" refreshedVersion="6" background="1" refreshOnLoad="1" saveData="1">
    <dbPr connection="Provider=Microsoft.Mashup.OleDb.1;Data Source=$Workbook$;Location=MasterKeysTable;Extended Properties=&quot;&quot;" command="SELECT * FROM [MasterKeysTable]"/>
  </connection>
  <connection id="39" xr16:uid="{A5613739-9416-4236-A693-82A4EC440BCB}" keepAlive="1" name="Connection43" type="5" refreshedVersion="6" background="1" refreshOnLoad="1" saveData="1">
    <dbPr connection="Provider=Microsoft.Mashup.OleDb.1;Data Source=$Workbook$;Location=MasterKeysTable;Extended Properties=&quot;&quot;" command="SELECT * FROM [MasterKeysTable]"/>
  </connection>
  <connection id="40" xr16:uid="{44E65742-7148-4911-84C5-0D94EF45AEB5}" keepAlive="1" name="Connection44" type="5" refreshedVersion="0" background="1" refreshOnLoad="1" saveData="1">
    <dbPr connection="Provider=Microsoft.Mashup.OleDb.1;Data Source=$Workbook$;Location=MasterKeysTable;Extended Properties=&quot;&quot;" command="SELECT * FROM [MasterKeysTable]"/>
  </connection>
  <connection id="41" xr16:uid="{764A7A20-FC3B-4C49-ADAD-9A17546D2174}" keepAlive="1" name="Connection45" type="5" refreshedVersion="0" background="1" refreshOnLoad="1" saveData="1">
    <dbPr connection="Provider=Microsoft.Mashup.OleDb.1;Data Source=$Workbook$;Location=MasterKeysTable;Extended Properties=&quot;&quot;" command="SELECT * FROM [MasterKeysTable]"/>
  </connection>
  <connection id="42" xr16:uid="{B67F1846-955C-4725-AC7A-F87615FE30C2}" keepAlive="1" name="Connection46" type="5" refreshedVersion="0" background="1" refreshOnLoad="1" saveData="1">
    <dbPr connection="Provider=Microsoft.Mashup.OleDb.1;Data Source=$Workbook$;Location=MasterKeysTable;Extended Properties=&quot;&quot;" command="SELECT * FROM [MasterKeysTable]"/>
  </connection>
  <connection id="43" xr16:uid="{1889D407-306B-4AE6-9539-CEB5E4752053}" keepAlive="1" name="Connection47" type="5" refreshedVersion="0" background="1" refreshOnLoad="1" saveData="1">
    <dbPr connection="Provider=Microsoft.Mashup.OleDb.1;Data Source=$Workbook$;Location=MasterKeysTable;Extended Properties=&quot;&quot;" command="SELECT * FROM [MasterKeysTable]"/>
  </connection>
  <connection id="44" xr16:uid="{05EB0E7C-32D0-4402-B2C5-AB6CDAA40067}" keepAlive="1" name="Connection48" type="5" refreshedVersion="0" background="1" refreshOnLoad="1" saveData="1">
    <dbPr connection="Provider=Microsoft.Mashup.OleDb.1;Data Source=$Workbook$;Location=MasterKeysTable;Extended Properties=&quot;&quot;" command="SELECT * FROM [MasterKeysTable]"/>
  </connection>
  <connection id="45" xr16:uid="{EE020FC7-8989-461D-9A5D-B514BBE80A1C}" keepAlive="1" name="Connection49" type="5" refreshedVersion="0" background="1" refreshOnLoad="1" saveData="1">
    <dbPr connection="Provider=Microsoft.Mashup.OleDb.1;Data Source=$Workbook$;Location=MasterKeysTable;Extended Properties=&quot;&quot;" command="SELECT * FROM [MasterKeysTable]"/>
  </connection>
  <connection id="46" xr16:uid="{42C20756-5F6F-4006-B333-5942D4E61B64}" keepAlive="1" name="Connection5" type="5" refreshedVersion="0" background="1">
    <dbPr connection="Provider=Microsoft.Mashup.OleDb.1;Data Source=$Workbook$;Location=MasterKeysTable;Extended Properties=&quot;&quot;" commandType="0"/>
  </connection>
  <connection id="47" xr16:uid="{EEC87966-BB92-42DA-A826-F650004BC7D1}" keepAlive="1" name="Connection50" type="5" refreshedVersion="0" background="1" refreshOnLoad="1" saveData="1">
    <dbPr connection="Provider=Microsoft.Mashup.OleDb.1;Data Source=$Workbook$;Location=MasterKeysTable;Extended Properties=&quot;&quot;" command="SELECT * FROM [MasterKeysTable]"/>
  </connection>
  <connection id="48" xr16:uid="{7DCF1EB8-5AA3-4F60-8839-CA859BD07E9B}" keepAlive="1" name="Connection6" type="5" refreshedVersion="0" background="1">
    <dbPr connection="Provider=Microsoft.Mashup.OleDb.1;Data Source=$Workbook$;Location=MasterKeysTable;Extended Properties=&quot;&quot;" commandType="0"/>
  </connection>
  <connection id="49" xr16:uid="{71165D2F-AD9D-4C48-8269-C4E270D986E3}" keepAlive="1" name="Connection7" type="5" refreshedVersion="0" background="1">
    <dbPr connection="Provider=Microsoft.Mashup.OleDb.1;Data Source=$Workbook$;Location=MasterKeysTable;Extended Properties=&quot;&quot;" commandType="0"/>
  </connection>
  <connection id="50" xr16:uid="{41DA43D8-A2DF-4A4A-B0CC-148712DB302F}" keepAlive="1" name="Connection8" type="5" refreshedVersion="0" background="1">
    <dbPr connection="Provider=Microsoft.Mashup.OleDb.1;Data Source=$Workbook$;Location=MasterKeysTable;Extended Properties=&quot;&quot;" commandType="0"/>
  </connection>
  <connection id="51" xr16:uid="{2F736E9B-606B-4313-BDE6-958CE0939949}" keepAlive="1" name="Connection9" type="5" refreshedVersion="0" background="1">
    <dbPr connection="Provider=Microsoft.Mashup.OleDb.1;Data Source=$Workbook$;Location=MasterKeysTable;Extended Properties=&quot;&quot;" commandType="0"/>
  </connection>
  <connection id="52" xr16:uid="{487961D0-E901-47D4-99CD-1D3CDC263136}" keepAlive="1" name="Query - Table27" description="Connection to the 'Table27' query in the workbook." type="5" refreshedVersion="6" background="1">
    <dbPr connection="Provider=Microsoft.Mashup.OleDb.1;Data Source=$Workbook$;Location=Table27;Extended Properties=&quot;&quot;" command="SELECT * FROM [Table27]"/>
  </connection>
</connections>
</file>

<file path=xl/sharedStrings.xml><?xml version="1.0" encoding="utf-8"?>
<sst xmlns="http://schemas.openxmlformats.org/spreadsheetml/2006/main" count="151" uniqueCount="94">
  <si>
    <t>Test Case ID</t>
  </si>
  <si>
    <t>Test Category</t>
  </si>
  <si>
    <t>Status</t>
  </si>
  <si>
    <t>Remarks</t>
  </si>
  <si>
    <t>Path</t>
  </si>
  <si>
    <t>Rev</t>
  </si>
  <si>
    <t>Name</t>
  </si>
  <si>
    <t>Terms</t>
  </si>
  <si>
    <t>&lt;List the terms, abbreviations if any used in this document&gt;</t>
  </si>
  <si>
    <t>&lt;Mention what kind of test level and technique going to be executed&gt;</t>
  </si>
  <si>
    <t>Target</t>
  </si>
  <si>
    <t>Test category</t>
  </si>
  <si>
    <t>&lt;Add more rows if required by doing right click from this cell to avoid format corruptions&gt;</t>
  </si>
  <si>
    <t>Test Setup #1</t>
  </si>
  <si>
    <t>Test Setup #2</t>
  </si>
  <si>
    <t>Microchip Technology, Inc.</t>
  </si>
  <si>
    <t>REV</t>
  </si>
  <si>
    <t>DATE</t>
  </si>
  <si>
    <t>ORIGINATOR</t>
  </si>
  <si>
    <t>DESCRIPTION OF CHANGE</t>
  </si>
  <si>
    <t>1. Introduction</t>
  </si>
  <si>
    <t>1.1 Scope</t>
  </si>
  <si>
    <t>1.2 References</t>
  </si>
  <si>
    <t>1.3 Specifications</t>
  </si>
  <si>
    <t>1.4 Terms and Abbreviations</t>
  </si>
  <si>
    <t>2. Test objectives</t>
  </si>
  <si>
    <t>2.1 Testing Effort</t>
  </si>
  <si>
    <t>2.2 Assumptions</t>
  </si>
  <si>
    <t>THIS DOCUMENT IS UNCONTROLLED UNLESS OTHERWISE STAMPED.  It is the user’s responsibility to ensure this is the latest revision prior to using or referencing this document.</t>
  </si>
  <si>
    <t>Form No.</t>
  </si>
  <si>
    <t>Rev.</t>
  </si>
  <si>
    <t>©   Microchip Technology Inc.</t>
  </si>
  <si>
    <t>Item</t>
  </si>
  <si>
    <t>Detail</t>
  </si>
  <si>
    <t>FPGA build / ASIC Revision</t>
  </si>
  <si>
    <t>Total applicable Tests</t>
  </si>
  <si>
    <t>Total Passed Tests</t>
  </si>
  <si>
    <t>Total Failed Tests</t>
  </si>
  <si>
    <t>Firmware revision</t>
  </si>
  <si>
    <t>Tested Platform</t>
  </si>
  <si>
    <t>Use Cases/Requirements</t>
  </si>
  <si>
    <t>Product Family</t>
  </si>
  <si>
    <t>Module ID</t>
  </si>
  <si>
    <t>Module Name</t>
  </si>
  <si>
    <t>Tested SKUs</t>
  </si>
  <si>
    <t>Functional Req Testing</t>
  </si>
  <si>
    <t>How does it work?</t>
  </si>
  <si>
    <t>1) This document queries the table "MasterKeysTable" in "MFTPMasterKey.xlsx" when this document is opened.
Refer Note1 for more details. 
2) Once the Step 1 is completed, it loads the "Data Validation" for columns of "Test Cases" sheet mentioned in Note 2
2) Once the "Product Family" ("Test Summary" Sheet) is selected, it loads the "Data Validation" for columns of "Test Cases" sheet mentioned in Note 2
Refer Note3 for more details
Note1:
	Reference: Macro_GetData() in Workbook_Open() Function
	a) Macro_GetData() gets the file path of "MFTPMasterKey.xlsx" using "Table27" in Sheet "Test Summary"
	b) Once it gets the path it loads "MasterKeysTable" presented in the "MFTPMasterKey.xlsx" using Power Queries.
Note2:
	a) SKUs
	b) HW Platform
	c) Use cases
Note3:
SetDropDowns(Arg1, Arg2, Arg3, Arg4)
	Arg1: Product Family 
	Arg2: Which Column to be filtered 
			E,g: Product Family2, Product Family3, Module ID
	Arg3: Column of "Test Cases" sheet where the Data Validation to be added 
			E,g: "H2:H100"
	Arg4: The column where the Data to be taken after applying Arg2 filter
Example:
	SetDropDowns("USB249XX", "Product Family2", "H2:H100", "SKUs")
	Explanation:
		a) USB249XX filter will be applied in "Product Family2" column
		b) It gets the data "SKUs" column and set drop down list of "H2:H100"</t>
  </si>
  <si>
    <t>Testable in?</t>
  </si>
  <si>
    <t>Total Not Applicable Tests</t>
  </si>
  <si>
    <t>Total no.of Tests</t>
  </si>
  <si>
    <t>Test Cases</t>
  </si>
  <si>
    <t>Total Passed Tests (%)</t>
  </si>
  <si>
    <t>Total Failed Tests (%)</t>
  </si>
  <si>
    <t>Total Incomplete Tests (%)</t>
  </si>
  <si>
    <t>Test Duration (No of man days)</t>
  </si>
  <si>
    <t>Test owner(s)</t>
  </si>
  <si>
    <t>Initial Draft</t>
  </si>
  <si>
    <t>Column1</t>
  </si>
  <si>
    <t>ExternalData_1: Getting Data ...</t>
  </si>
  <si>
    <t>ESF - EtherCAT Software Framework. The LAN925x silicon used on EVB-LAN9253-SAMD51 board. So the Supporting controller (SAMD51) code support added to ESF.</t>
  </si>
  <si>
    <t>The Testing covers the development testing for ESF, Once the New controller support added to ESF, then the basic functionality of ESC should work. The Basic functionality verified with the Help of TwinCAT master application which runs on IPC.</t>
  </si>
  <si>
    <t>IPC</t>
  </si>
  <si>
    <t>Industrial Personal Computer</t>
  </si>
  <si>
    <t xml:space="preserve">Functionality </t>
  </si>
  <si>
    <t>Functionality testing covers the basic functionality for newly added board/ controller support to verify the ESC basic features.</t>
  </si>
  <si>
    <t>Rathika</t>
  </si>
  <si>
    <t>Jutland2 - SIP</t>
  </si>
  <si>
    <t>SAME53</t>
  </si>
  <si>
    <t>Rathika Kumar</t>
  </si>
  <si>
    <t>PICKIT 4</t>
  </si>
  <si>
    <t>PICKIT 4,RJ45, TwinCAT master</t>
  </si>
  <si>
    <t>All the above test cases should be done in both direct and indirect modes</t>
  </si>
  <si>
    <t>SVB</t>
  </si>
  <si>
    <t>LAN9255</t>
  </si>
  <si>
    <t>cycle time calculation</t>
  </si>
  <si>
    <t>IO_FOE_PDI_WR01</t>
  </si>
  <si>
    <t>IO_FOE_PDI_RD02</t>
  </si>
  <si>
    <t>IO_FOE_PDI_OP03</t>
  </si>
  <si>
    <t>IO_FOE_PDI_OP04</t>
  </si>
  <si>
    <t>IO_FOE_PDI_CTT05</t>
  </si>
  <si>
    <t>IO_FOE_PDI_FREQ006</t>
  </si>
  <si>
    <t>IO_FOE_PDI_FREQ007</t>
  </si>
  <si>
    <t>IO_FOE_PDI_FREQ008</t>
  </si>
  <si>
    <t>IO_FOE_PDI_FREQ009</t>
  </si>
  <si>
    <t>IO_FOE_PDI_MODE0010</t>
  </si>
  <si>
    <t>IO_FOE_PDI_CYCLE_TIME0011</t>
  </si>
  <si>
    <t>IO_DC_FOE</t>
  </si>
  <si>
    <t>IO_FOE_PDI_GPIO001</t>
  </si>
  <si>
    <t>IO_FOE_PDI_DC001</t>
  </si>
  <si>
    <t>CTT testing should be done with DC enabled</t>
  </si>
  <si>
    <t>PASS</t>
  </si>
  <si>
    <t>Not Tested</t>
  </si>
  <si>
    <t>To be tested by validation team due to DC DUT non availability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</si>
</sst>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7" x14ac:knownFonts="1">
    <font>
      <sz val="11"/>
      <color theme="1"/>
      <name val="Latha"/>
      <family val="2"/>
      <scheme val="minor"/>
    </font>
    <font>
      <sz val="11"/>
      <color theme="1"/>
      <name val="Arial"/>
      <family val="2"/>
    </font>
    <font>
      <sz val="12"/>
      <color theme="1"/>
      <name val="Arial"/>
      <family val="2"/>
    </font>
    <font>
      <sz val="8"/>
      <color theme="1"/>
      <name val="Arial"/>
      <family val="2"/>
    </font>
    <font>
      <sz val="11"/>
      <color rgb="FF000000"/>
      <name val="Arial"/>
      <family val="2"/>
    </font>
    <font>
      <sz val="9"/>
      <color theme="1"/>
      <name val="Arial"/>
      <family val="2"/>
    </font>
    <font>
      <sz val="9"/>
      <color theme="1"/>
      <name val="Latha"/>
      <family val="2"/>
      <scheme val="minor"/>
    </font>
    <font>
      <b/>
      <sz val="9"/>
      <color theme="1"/>
      <name val="Arial"/>
      <family val="2"/>
    </font>
    <font>
      <b/>
      <sz val="11"/>
      <color theme="1"/>
      <name val="Arial"/>
      <family val="2"/>
    </font>
    <font>
      <b/>
      <sz val="11"/>
      <color theme="1"/>
      <name val="Latha"/>
      <family val="2"/>
      <scheme val="minor"/>
    </font>
    <font>
      <sz val="7"/>
      <name val="Arial"/>
      <family val="2"/>
    </font>
    <font>
      <sz val="8"/>
      <name val="Arial"/>
      <family val="2"/>
    </font>
    <font>
      <b/>
      <sz val="11"/>
      <name val="Latha"/>
      <family val="2"/>
      <scheme val="minor"/>
    </font>
    <font>
      <sz val="11"/>
      <name val="Latha"/>
      <family val="2"/>
      <scheme val="minor"/>
    </font>
    <font>
      <sz val="11"/>
      <color theme="1"/>
      <name val="Calibri"/>
      <family val="2"/>
    </font>
    <font>
      <sz val="8"/>
      <color theme="1"/>
      <name val="Latha"/>
      <family val="2"/>
      <scheme val="minor"/>
    </font>
    <font>
      <sz val="8"/>
      <name val="Latha"/>
      <family val="2"/>
      <scheme val="minor"/>
    </font>
  </fonts>
  <fills count="7">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style="double">
        <color indexed="64"/>
      </top>
      <bottom/>
      <diagonal/>
    </border>
    <border>
      <left/>
      <right style="double">
        <color indexed="64"/>
      </right>
      <top/>
      <bottom/>
      <diagonal/>
    </border>
    <border>
      <left/>
      <right style="double">
        <color indexed="64"/>
      </right>
      <top/>
      <bottom style="double">
        <color indexed="64"/>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99">
    <xf numFmtId="0" fontId="0" fillId="0" borderId="0" xfId="0"/>
    <xf numFmtId="0" fontId="0" fillId="2" borderId="0" xfId="0" applyFill="1"/>
    <xf numFmtId="0" fontId="0" fillId="3" borderId="0" xfId="0" applyFill="1"/>
    <xf numFmtId="0" fontId="1" fillId="0" borderId="0" xfId="0" applyFont="1"/>
    <xf numFmtId="0" fontId="2" fillId="0" borderId="33" xfId="0" applyFont="1" applyBorder="1" applyAlignment="1">
      <alignment horizontal="center" vertical="center" wrapText="1"/>
    </xf>
    <xf numFmtId="0" fontId="2" fillId="0" borderId="32" xfId="0" applyFont="1" applyBorder="1" applyAlignment="1">
      <alignment horizontal="center" vertical="center" wrapText="1"/>
    </xf>
    <xf numFmtId="0" fontId="2" fillId="0" borderId="29" xfId="0" applyFont="1" applyBorder="1" applyAlignment="1">
      <alignment horizontal="center" vertical="center" wrapText="1"/>
    </xf>
    <xf numFmtId="0" fontId="1" fillId="0" borderId="5" xfId="0" applyFont="1" applyBorder="1" applyAlignment="1">
      <alignment horizontal="center" vertical="center" wrapText="1"/>
    </xf>
    <xf numFmtId="15" fontId="1" fillId="0" borderId="6" xfId="0" applyNumberFormat="1" applyFont="1" applyBorder="1" applyAlignment="1">
      <alignment horizontal="center" vertical="center" wrapText="1"/>
    </xf>
    <xf numFmtId="0" fontId="1" fillId="0" borderId="6" xfId="0" applyFont="1" applyBorder="1" applyAlignment="1">
      <alignment vertical="center" wrapText="1"/>
    </xf>
    <xf numFmtId="0" fontId="2" fillId="0" borderId="0" xfId="0" applyFont="1"/>
    <xf numFmtId="0" fontId="4" fillId="0" borderId="6" xfId="0" applyFont="1" applyBorder="1" applyAlignment="1">
      <alignment vertical="center" wrapText="1"/>
    </xf>
    <xf numFmtId="0" fontId="5" fillId="0" borderId="0" xfId="0" applyFont="1"/>
    <xf numFmtId="0" fontId="5" fillId="0" borderId="0" xfId="0" applyFont="1" applyAlignment="1">
      <alignment wrapText="1"/>
    </xf>
    <xf numFmtId="0" fontId="6" fillId="0" borderId="0" xfId="0" applyFont="1"/>
    <xf numFmtId="0" fontId="5" fillId="3" borderId="1" xfId="0" applyFont="1" applyFill="1" applyBorder="1" applyAlignment="1">
      <alignment wrapText="1"/>
    </xf>
    <xf numFmtId="0" fontId="5" fillId="3" borderId="14" xfId="0" applyFont="1" applyFill="1" applyBorder="1"/>
    <xf numFmtId="0" fontId="5" fillId="3" borderId="2" xfId="0" applyFont="1" applyFill="1" applyBorder="1" applyAlignment="1">
      <alignment wrapText="1"/>
    </xf>
    <xf numFmtId="0" fontId="5" fillId="3" borderId="22" xfId="0" applyFont="1" applyFill="1" applyBorder="1"/>
    <xf numFmtId="0" fontId="5" fillId="3" borderId="16" xfId="0" applyFont="1" applyFill="1" applyBorder="1" applyAlignment="1">
      <alignment wrapText="1"/>
    </xf>
    <xf numFmtId="0" fontId="5" fillId="3" borderId="17" xfId="0" applyFont="1" applyFill="1" applyBorder="1"/>
    <xf numFmtId="0" fontId="5" fillId="3" borderId="13" xfId="0" applyFont="1" applyFill="1" applyBorder="1"/>
    <xf numFmtId="0" fontId="5" fillId="3" borderId="21" xfId="0" applyFont="1" applyFill="1" applyBorder="1"/>
    <xf numFmtId="0" fontId="5" fillId="3" borderId="15" xfId="0" applyFont="1" applyFill="1" applyBorder="1"/>
    <xf numFmtId="0" fontId="5" fillId="0" borderId="15" xfId="0" applyFont="1" applyBorder="1" applyAlignment="1">
      <alignment vertical="center" wrapText="1"/>
    </xf>
    <xf numFmtId="0" fontId="5" fillId="4" borderId="35" xfId="0" applyFont="1" applyFill="1" applyBorder="1"/>
    <xf numFmtId="0" fontId="7" fillId="4" borderId="10" xfId="0" applyFont="1" applyFill="1" applyBorder="1"/>
    <xf numFmtId="0" fontId="7" fillId="4" borderId="11" xfId="0" applyFont="1" applyFill="1" applyBorder="1" applyAlignment="1">
      <alignment wrapText="1"/>
    </xf>
    <xf numFmtId="0" fontId="7" fillId="4" borderId="12" xfId="0" applyFont="1" applyFill="1" applyBorder="1"/>
    <xf numFmtId="0" fontId="8" fillId="2" borderId="7" xfId="0" applyFont="1" applyFill="1" applyBorder="1"/>
    <xf numFmtId="0" fontId="7" fillId="4" borderId="10" xfId="0" applyFont="1" applyFill="1" applyBorder="1" applyAlignment="1">
      <alignment horizontal="center"/>
    </xf>
    <xf numFmtId="0" fontId="7" fillId="4" borderId="11" xfId="0" applyFont="1" applyFill="1" applyBorder="1" applyAlignment="1">
      <alignment horizontal="center" wrapText="1"/>
    </xf>
    <xf numFmtId="0" fontId="7" fillId="4" borderId="12" xfId="0" applyFont="1" applyFill="1" applyBorder="1" applyAlignment="1">
      <alignment horizontal="center"/>
    </xf>
    <xf numFmtId="0" fontId="8" fillId="2" borderId="7" xfId="0" applyFont="1" applyFill="1" applyBorder="1" applyAlignment="1">
      <alignment wrapText="1"/>
    </xf>
    <xf numFmtId="0" fontId="7" fillId="4" borderId="34" xfId="0" applyFont="1" applyFill="1" applyBorder="1" applyAlignment="1">
      <alignment horizontal="center"/>
    </xf>
    <xf numFmtId="0" fontId="7" fillId="4" borderId="19" xfId="0" applyFont="1" applyFill="1" applyBorder="1" applyAlignment="1">
      <alignment horizontal="center"/>
    </xf>
    <xf numFmtId="0" fontId="5" fillId="3" borderId="36" xfId="0" applyFont="1" applyFill="1" applyBorder="1" applyAlignment="1">
      <alignment wrapText="1"/>
    </xf>
    <xf numFmtId="0" fontId="5" fillId="3" borderId="4" xfId="0" applyFont="1" applyFill="1" applyBorder="1" applyAlignment="1">
      <alignment wrapText="1"/>
    </xf>
    <xf numFmtId="0" fontId="0" fillId="0" borderId="37" xfId="0" applyBorder="1"/>
    <xf numFmtId="0" fontId="5" fillId="0" borderId="10" xfId="0" applyFont="1" applyBorder="1" applyAlignment="1">
      <alignment vertical="center" wrapText="1"/>
    </xf>
    <xf numFmtId="0" fontId="5" fillId="0" borderId="13" xfId="0" applyFont="1" applyBorder="1" applyAlignment="1">
      <alignment vertical="center" wrapText="1"/>
    </xf>
    <xf numFmtId="0" fontId="5" fillId="0" borderId="3" xfId="0" applyFont="1" applyBorder="1" applyAlignment="1">
      <alignment vertical="center" wrapText="1"/>
    </xf>
    <xf numFmtId="0" fontId="5" fillId="0" borderId="40" xfId="0" applyFont="1" applyBorder="1" applyAlignment="1">
      <alignment vertical="center" wrapText="1"/>
    </xf>
    <xf numFmtId="0" fontId="8" fillId="2" borderId="18" xfId="0" applyFont="1" applyFill="1" applyBorder="1" applyAlignment="1">
      <alignment wrapText="1"/>
    </xf>
    <xf numFmtId="0" fontId="11" fillId="0" borderId="1" xfId="0" applyFont="1" applyBorder="1" applyAlignment="1">
      <alignment horizontal="center" vertical="center"/>
    </xf>
    <xf numFmtId="0" fontId="11" fillId="0" borderId="3" xfId="0" applyFont="1" applyBorder="1" applyAlignment="1">
      <alignment vertical="center"/>
    </xf>
    <xf numFmtId="0" fontId="12" fillId="0" borderId="1" xfId="0" applyFont="1" applyBorder="1" applyAlignment="1">
      <alignment horizontal="left"/>
    </xf>
    <xf numFmtId="0" fontId="13" fillId="0" borderId="1" xfId="0" applyFont="1" applyBorder="1" applyAlignment="1">
      <alignment horizontal="center" vertical="center"/>
    </xf>
    <xf numFmtId="0" fontId="9" fillId="0" borderId="1" xfId="0" applyFont="1" applyBorder="1" applyAlignment="1">
      <alignment horizontal="left"/>
    </xf>
    <xf numFmtId="0" fontId="0" fillId="0" borderId="1" xfId="0" applyBorder="1" applyAlignment="1">
      <alignment horizontal="center" vertical="center"/>
    </xf>
    <xf numFmtId="0" fontId="9" fillId="5" borderId="1" xfId="0" applyFont="1" applyFill="1" applyBorder="1" applyAlignment="1">
      <alignment horizontal="center"/>
    </xf>
    <xf numFmtId="0" fontId="6" fillId="0" borderId="0" xfId="0" applyFont="1" applyAlignment="1">
      <alignment wrapText="1"/>
    </xf>
    <xf numFmtId="0" fontId="9" fillId="2" borderId="1" xfId="0" applyFont="1" applyFill="1" applyBorder="1" applyAlignment="1">
      <alignment wrapText="1"/>
    </xf>
    <xf numFmtId="0" fontId="9" fillId="5" borderId="42" xfId="0" applyFont="1" applyFill="1" applyBorder="1" applyAlignment="1">
      <alignment horizontal="center"/>
    </xf>
    <xf numFmtId="0" fontId="0" fillId="0" borderId="0" xfId="0" applyAlignment="1">
      <alignment wrapText="1"/>
    </xf>
    <xf numFmtId="0" fontId="15" fillId="0" borderId="0" xfId="0" applyFont="1" applyAlignment="1">
      <alignment wrapText="1"/>
    </xf>
    <xf numFmtId="0" fontId="0" fillId="6" borderId="0" xfId="0" applyFill="1"/>
    <xf numFmtId="0" fontId="14" fillId="0" borderId="0" xfId="0" applyFont="1" applyAlignment="1">
      <alignment wrapText="1"/>
    </xf>
    <xf numFmtId="164" fontId="0" fillId="0" borderId="1" xfId="0" applyNumberFormat="1" applyBorder="1" applyAlignment="1">
      <alignment horizontal="center" vertical="center"/>
    </xf>
    <xf numFmtId="10" fontId="0" fillId="0" borderId="1" xfId="0" applyNumberFormat="1" applyBorder="1" applyAlignment="1">
      <alignment horizontal="center" vertical="center"/>
    </xf>
    <xf numFmtId="0" fontId="5" fillId="0" borderId="1" xfId="0" applyFont="1" applyBorder="1" applyAlignment="1">
      <alignment horizontal="center" wrapText="1"/>
    </xf>
    <xf numFmtId="0" fontId="14" fillId="0" borderId="1" xfId="0" applyFont="1" applyBorder="1" applyAlignment="1">
      <alignment wrapText="1"/>
    </xf>
    <xf numFmtId="0" fontId="6" fillId="0" borderId="1" xfId="0" applyFont="1" applyBorder="1" applyAlignment="1">
      <alignment wrapText="1"/>
    </xf>
    <xf numFmtId="0" fontId="0" fillId="0" borderId="1" xfId="0" applyBorder="1" applyAlignment="1">
      <alignment wrapText="1"/>
    </xf>
    <xf numFmtId="0" fontId="5" fillId="0" borderId="1" xfId="0" applyFont="1" applyBorder="1" applyAlignment="1">
      <alignment horizontal="center"/>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30" xfId="0" applyFont="1" applyBorder="1" applyAlignment="1">
      <alignment horizontal="left" vertical="center" wrapText="1"/>
    </xf>
    <xf numFmtId="0" fontId="3" fillId="0" borderId="27" xfId="0" applyFont="1" applyBorder="1" applyAlignment="1">
      <alignment horizontal="left" vertical="center" wrapText="1"/>
    </xf>
    <xf numFmtId="0" fontId="3" fillId="0" borderId="0" xfId="0" applyFont="1" applyAlignment="1">
      <alignment horizontal="left" vertical="center" wrapText="1"/>
    </xf>
    <xf numFmtId="0" fontId="3" fillId="0" borderId="31" xfId="0" applyFont="1" applyBorder="1" applyAlignment="1">
      <alignment horizontal="left" vertical="center" wrapText="1"/>
    </xf>
    <xf numFmtId="0" fontId="3" fillId="0" borderId="28" xfId="0" applyFont="1" applyBorder="1" applyAlignment="1">
      <alignment horizontal="left" vertical="center" wrapText="1"/>
    </xf>
    <xf numFmtId="0" fontId="3" fillId="0" borderId="29" xfId="0" applyFont="1" applyBorder="1" applyAlignment="1">
      <alignment horizontal="left" vertical="center" wrapText="1"/>
    </xf>
    <xf numFmtId="0" fontId="3" fillId="0" borderId="32" xfId="0" applyFont="1" applyBorder="1" applyAlignment="1">
      <alignment horizontal="left" vertical="center" wrapText="1"/>
    </xf>
    <xf numFmtId="0" fontId="12" fillId="0" borderId="1" xfId="0" applyFont="1" applyBorder="1" applyAlignment="1">
      <alignment horizontal="center"/>
    </xf>
    <xf numFmtId="0" fontId="9" fillId="5" borderId="3" xfId="0" applyFont="1" applyFill="1" applyBorder="1" applyAlignment="1">
      <alignment horizontal="center"/>
    </xf>
    <xf numFmtId="0" fontId="9" fillId="5" borderId="41" xfId="0" applyFont="1" applyFill="1" applyBorder="1" applyAlignment="1">
      <alignment horizontal="center"/>
    </xf>
    <xf numFmtId="0" fontId="12" fillId="0" borderId="43" xfId="0" applyFont="1" applyBorder="1" applyAlignment="1">
      <alignment horizontal="center"/>
    </xf>
    <xf numFmtId="0" fontId="12" fillId="0" borderId="44" xfId="0" applyFont="1" applyBorder="1" applyAlignment="1">
      <alignment horizontal="center"/>
    </xf>
    <xf numFmtId="0" fontId="10" fillId="0" borderId="3" xfId="0" applyFont="1" applyBorder="1" applyAlignment="1">
      <alignment horizontal="center" vertical="center" wrapText="1"/>
    </xf>
    <xf numFmtId="0" fontId="10" fillId="0" borderId="41" xfId="0" applyFont="1" applyBorder="1" applyAlignment="1">
      <alignment horizontal="center" vertical="center" wrapText="1"/>
    </xf>
    <xf numFmtId="0" fontId="10" fillId="0" borderId="3" xfId="0" applyFont="1" applyBorder="1" applyAlignment="1">
      <alignment horizontal="center" vertical="center"/>
    </xf>
    <xf numFmtId="0" fontId="10" fillId="0" borderId="41" xfId="0" applyFont="1" applyBorder="1" applyAlignment="1">
      <alignment horizontal="center" vertical="center"/>
    </xf>
    <xf numFmtId="0" fontId="0" fillId="0" borderId="18" xfId="0" applyBorder="1" applyAlignment="1">
      <alignment horizontal="center"/>
    </xf>
    <xf numFmtId="0" fontId="0" fillId="0" borderId="4" xfId="0" applyBorder="1" applyAlignment="1">
      <alignment horizontal="center"/>
    </xf>
    <xf numFmtId="0" fontId="5" fillId="3" borderId="36" xfId="0" applyFont="1" applyFill="1" applyBorder="1" applyAlignment="1">
      <alignment horizontal="center" wrapText="1"/>
    </xf>
    <xf numFmtId="0" fontId="5" fillId="3" borderId="4" xfId="0" applyFont="1" applyFill="1" applyBorder="1" applyAlignment="1">
      <alignment horizontal="center" wrapText="1"/>
    </xf>
    <xf numFmtId="0" fontId="0" fillId="0" borderId="37" xfId="0" applyBorder="1" applyAlignment="1">
      <alignment horizontal="center"/>
    </xf>
    <xf numFmtId="0" fontId="5" fillId="3" borderId="8" xfId="0" applyFont="1" applyFill="1" applyBorder="1" applyAlignment="1">
      <alignment horizontal="left" wrapText="1"/>
    </xf>
    <xf numFmtId="0" fontId="5" fillId="3" borderId="9" xfId="0" applyFont="1" applyFill="1" applyBorder="1" applyAlignment="1">
      <alignment horizontal="left" wrapText="1"/>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16" xfId="0" applyFont="1" applyBorder="1" applyAlignment="1">
      <alignment horizontal="center"/>
    </xf>
    <xf numFmtId="0" fontId="5" fillId="0" borderId="17" xfId="0" applyFont="1" applyBorder="1" applyAlignment="1">
      <alignment horizontal="center"/>
    </xf>
    <xf numFmtId="0" fontId="5" fillId="0" borderId="23" xfId="0" applyFont="1" applyBorder="1" applyAlignment="1">
      <alignment horizontal="center" vertical="center" wrapText="1"/>
    </xf>
    <xf numFmtId="0" fontId="5" fillId="0" borderId="24"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39" xfId="0" applyFont="1" applyBorder="1" applyAlignment="1">
      <alignment horizontal="center"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28575</xdr:colOff>
      <xdr:row>2</xdr:row>
      <xdr:rowOff>85725</xdr:rowOff>
    </xdr:from>
    <xdr:to>
      <xdr:col>2</xdr:col>
      <xdr:colOff>47625</xdr:colOff>
      <xdr:row>4</xdr:row>
      <xdr:rowOff>85725</xdr:rowOff>
    </xdr:to>
    <xdr:pic>
      <xdr:nvPicPr>
        <xdr:cNvPr id="2" name="Picture 1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828675"/>
          <a:ext cx="16287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762000</xdr:colOff>
          <xdr:row>3</xdr:row>
          <xdr:rowOff>0</xdr:rowOff>
        </xdr:from>
        <xdr:to>
          <xdr:col>3</xdr:col>
          <xdr:colOff>2908300</xdr:colOff>
          <xdr:row>5</xdr:row>
          <xdr:rowOff>260350</xdr:rowOff>
        </xdr:to>
        <xdr:sp macro="" textlink="">
          <xdr:nvSpPr>
            <xdr:cNvPr id="6146" name="Object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584200</xdr:colOff>
      <xdr:row>3</xdr:row>
      <xdr:rowOff>47625</xdr:rowOff>
    </xdr:from>
    <xdr:to>
      <xdr:col>0</xdr:col>
      <xdr:colOff>1752600</xdr:colOff>
      <xdr:row>6</xdr:row>
      <xdr:rowOff>9525</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584200" y="600075"/>
          <a:ext cx="1168400" cy="51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EVB-LAN9255-SAME53</a:t>
          </a:r>
        </a:p>
      </xdr:txBody>
    </xdr:sp>
    <xdr:clientData/>
  </xdr:twoCellAnchor>
  <xdr:twoCellAnchor>
    <xdr:from>
      <xdr:col>1</xdr:col>
      <xdr:colOff>628650</xdr:colOff>
      <xdr:row>3</xdr:row>
      <xdr:rowOff>38099</xdr:rowOff>
    </xdr:from>
    <xdr:to>
      <xdr:col>2</xdr:col>
      <xdr:colOff>676275</xdr:colOff>
      <xdr:row>5</xdr:row>
      <xdr:rowOff>180974</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2971800" y="609599"/>
          <a:ext cx="1381125"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EtherCAT</a:t>
          </a:r>
          <a:r>
            <a:rPr lang="en-US" sz="1100" baseline="0"/>
            <a:t> master</a:t>
          </a:r>
        </a:p>
        <a:p>
          <a:pPr algn="ctr"/>
          <a:r>
            <a:rPr lang="en-US" sz="1100" baseline="0"/>
            <a:t>(TwinCAT)</a:t>
          </a:r>
          <a:endParaRPr lang="en-US" sz="1100"/>
        </a:p>
      </xdr:txBody>
    </xdr:sp>
    <xdr:clientData/>
  </xdr:twoCellAnchor>
  <xdr:twoCellAnchor>
    <xdr:from>
      <xdr:col>0</xdr:col>
      <xdr:colOff>1790700</xdr:colOff>
      <xdr:row>4</xdr:row>
      <xdr:rowOff>38100</xdr:rowOff>
    </xdr:from>
    <xdr:to>
      <xdr:col>1</xdr:col>
      <xdr:colOff>619125</xdr:colOff>
      <xdr:row>5</xdr:row>
      <xdr:rowOff>19050</xdr:rowOff>
    </xdr:to>
    <xdr:sp macro="" textlink="">
      <xdr:nvSpPr>
        <xdr:cNvPr id="5" name="Arrow: Left-Right 4">
          <a:extLst>
            <a:ext uri="{FF2B5EF4-FFF2-40B4-BE49-F238E27FC236}">
              <a16:creationId xmlns:a16="http://schemas.microsoft.com/office/drawing/2014/main" id="{00000000-0008-0000-0300-000005000000}"/>
            </a:ext>
          </a:extLst>
        </xdr:cNvPr>
        <xdr:cNvSpPr/>
      </xdr:nvSpPr>
      <xdr:spPr>
        <a:xfrm>
          <a:off x="1790700" y="800100"/>
          <a:ext cx="1171575" cy="171450"/>
        </a:xfrm>
        <a:prstGeom prst="lef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762000</xdr:colOff>
      <xdr:row>27</xdr:row>
      <xdr:rowOff>47625</xdr:rowOff>
    </xdr:from>
    <xdr:to>
      <xdr:col>0</xdr:col>
      <xdr:colOff>1752600</xdr:colOff>
      <xdr:row>30</xdr:row>
      <xdr:rowOff>9525</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762000" y="619125"/>
          <a:ext cx="990600" cy="533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628650</xdr:colOff>
      <xdr:row>27</xdr:row>
      <xdr:rowOff>38099</xdr:rowOff>
    </xdr:from>
    <xdr:to>
      <xdr:col>2</xdr:col>
      <xdr:colOff>676275</xdr:colOff>
      <xdr:row>29</xdr:row>
      <xdr:rowOff>180974</xdr:rowOff>
    </xdr:to>
    <xdr:sp macro="" textlink="">
      <xdr:nvSpPr>
        <xdr:cNvPr id="7" name="Rectangle 6">
          <a:extLst>
            <a:ext uri="{FF2B5EF4-FFF2-40B4-BE49-F238E27FC236}">
              <a16:creationId xmlns:a16="http://schemas.microsoft.com/office/drawing/2014/main" id="{00000000-0008-0000-0300-000007000000}"/>
            </a:ext>
          </a:extLst>
        </xdr:cNvPr>
        <xdr:cNvSpPr/>
      </xdr:nvSpPr>
      <xdr:spPr>
        <a:xfrm>
          <a:off x="2971800" y="609599"/>
          <a:ext cx="1381125"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1790700</xdr:colOff>
      <xdr:row>28</xdr:row>
      <xdr:rowOff>38100</xdr:rowOff>
    </xdr:from>
    <xdr:to>
      <xdr:col>1</xdr:col>
      <xdr:colOff>619125</xdr:colOff>
      <xdr:row>29</xdr:row>
      <xdr:rowOff>19050</xdr:rowOff>
    </xdr:to>
    <xdr:sp macro="" textlink="">
      <xdr:nvSpPr>
        <xdr:cNvPr id="8" name="Arrow: Left-Right 7">
          <a:extLst>
            <a:ext uri="{FF2B5EF4-FFF2-40B4-BE49-F238E27FC236}">
              <a16:creationId xmlns:a16="http://schemas.microsoft.com/office/drawing/2014/main" id="{00000000-0008-0000-0300-000008000000}"/>
            </a:ext>
          </a:extLst>
        </xdr:cNvPr>
        <xdr:cNvSpPr/>
      </xdr:nvSpPr>
      <xdr:spPr>
        <a:xfrm>
          <a:off x="1790700" y="800100"/>
          <a:ext cx="1171575" cy="171450"/>
        </a:xfrm>
        <a:prstGeom prst="lef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12700</xdr:colOff>
      <xdr:row>1</xdr:row>
      <xdr:rowOff>28575</xdr:rowOff>
    </xdr:from>
    <xdr:to>
      <xdr:col>2</xdr:col>
      <xdr:colOff>5207000</xdr:colOff>
      <xdr:row>2</xdr:row>
      <xdr:rowOff>25400</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2978150" y="561975"/>
          <a:ext cx="5194300" cy="24288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set a breakpoint at Byte order read register</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Should read Byte order register as "0x87654321"</a:t>
          </a:r>
          <a:endParaRPr lang="en-US" sz="800">
            <a:effectLst/>
          </a:endParaRPr>
        </a:p>
      </xdr:txBody>
    </xdr:sp>
    <xdr:clientData/>
  </xdr:twoCellAnchor>
  <xdr:twoCellAnchor>
    <xdr:from>
      <xdr:col>2</xdr:col>
      <xdr:colOff>19050</xdr:colOff>
      <xdr:row>2</xdr:row>
      <xdr:rowOff>0</xdr:rowOff>
    </xdr:from>
    <xdr:to>
      <xdr:col>3</xdr:col>
      <xdr:colOff>0</xdr:colOff>
      <xdr:row>2</xdr:row>
      <xdr:rowOff>19050</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2847975" y="857250"/>
          <a:ext cx="3562350" cy="274320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2</xdr:row>
      <xdr:rowOff>9525</xdr:rowOff>
    </xdr:from>
    <xdr:to>
      <xdr:col>3</xdr:col>
      <xdr:colOff>0</xdr:colOff>
      <xdr:row>3</xdr:row>
      <xdr:rowOff>0</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847975" y="857250"/>
          <a:ext cx="3562350" cy="27241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set a breakpoint at Byte order read register</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Should read Byte order register as "0x87654321"</a:t>
          </a:r>
          <a:endParaRPr lang="en-US" sz="800">
            <a:effectLst/>
          </a:endParaRPr>
        </a:p>
      </xdr:txBody>
    </xdr:sp>
    <xdr:clientData/>
  </xdr:twoCellAnchor>
  <xdr:twoCellAnchor>
    <xdr:from>
      <xdr:col>2</xdr:col>
      <xdr:colOff>19050</xdr:colOff>
      <xdr:row>3</xdr:row>
      <xdr:rowOff>0</xdr:rowOff>
    </xdr:from>
    <xdr:to>
      <xdr:col>3</xdr:col>
      <xdr:colOff>0</xdr:colOff>
      <xdr:row>3</xdr:row>
      <xdr:rowOff>19050</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2847975" y="3581400"/>
          <a:ext cx="356235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3</xdr:row>
      <xdr:rowOff>9525</xdr:rowOff>
    </xdr:from>
    <xdr:to>
      <xdr:col>3</xdr:col>
      <xdr:colOff>0</xdr:colOff>
      <xdr:row>4</xdr:row>
      <xdr:rowOff>0</xdr:rowOff>
    </xdr:to>
    <xdr:sp macro="" textlink="">
      <xdr:nvSpPr>
        <xdr:cNvPr id="6" name="Rectangle 5">
          <a:extLst>
            <a:ext uri="{FF2B5EF4-FFF2-40B4-BE49-F238E27FC236}">
              <a16:creationId xmlns:a16="http://schemas.microsoft.com/office/drawing/2014/main" id="{00000000-0008-0000-0400-000006000000}"/>
            </a:ext>
          </a:extLst>
        </xdr:cNvPr>
        <xdr:cNvSpPr/>
      </xdr:nvSpPr>
      <xdr:spPr>
        <a:xfrm>
          <a:off x="2847975" y="3590925"/>
          <a:ext cx="3562350" cy="27241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p>
        <a:p>
          <a:pPr eaLnBrk="1" fontAlgn="auto" latinLnBrk="0" hangingPunct="1"/>
          <a:r>
            <a:rPr lang="en-US" sz="1100" b="0" i="0" baseline="0">
              <a:effectLst/>
              <a:latin typeface="+mn-lt"/>
              <a:ea typeface="+mn-ea"/>
              <a:cs typeface="+mn-cs"/>
            </a:rPr>
            <a:t>5. Check the actual status and should be OP mode. Also check the current status</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p>
        <a:p>
          <a:pPr eaLnBrk="1" fontAlgn="auto" latinLnBrk="0" hangingPunct="1"/>
          <a:r>
            <a:rPr lang="en-US" sz="1100" b="0" i="0" baseline="0">
              <a:effectLst/>
              <a:latin typeface="+mn-lt"/>
              <a:ea typeface="+mn-ea"/>
              <a:cs typeface="+mn-cs"/>
            </a:rPr>
            <a:t>2. The current status should be "OP" mode</a:t>
          </a:r>
          <a:endParaRPr lang="en-US" sz="800">
            <a:effectLst/>
          </a:endParaRPr>
        </a:p>
      </xdr:txBody>
    </xdr:sp>
    <xdr:clientData/>
  </xdr:twoCellAnchor>
  <xdr:twoCellAnchor>
    <xdr:from>
      <xdr:col>2</xdr:col>
      <xdr:colOff>19050</xdr:colOff>
      <xdr:row>4</xdr:row>
      <xdr:rowOff>0</xdr:rowOff>
    </xdr:from>
    <xdr:to>
      <xdr:col>3</xdr:col>
      <xdr:colOff>0</xdr:colOff>
      <xdr:row>4</xdr:row>
      <xdr:rowOff>19050</xdr:rowOff>
    </xdr:to>
    <xdr:sp macro="" textlink="">
      <xdr:nvSpPr>
        <xdr:cNvPr id="7" name="Rectangle 6">
          <a:extLst>
            <a:ext uri="{FF2B5EF4-FFF2-40B4-BE49-F238E27FC236}">
              <a16:creationId xmlns:a16="http://schemas.microsoft.com/office/drawing/2014/main" id="{00000000-0008-0000-0400-000007000000}"/>
            </a:ext>
          </a:extLst>
        </xdr:cNvPr>
        <xdr:cNvSpPr/>
      </xdr:nvSpPr>
      <xdr:spPr>
        <a:xfrm>
          <a:off x="2847975" y="6315075"/>
          <a:ext cx="356235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4</xdr:row>
      <xdr:rowOff>9525</xdr:rowOff>
    </xdr:from>
    <xdr:to>
      <xdr:col>3</xdr:col>
      <xdr:colOff>0</xdr:colOff>
      <xdr:row>5</xdr:row>
      <xdr:rowOff>0</xdr:rowOff>
    </xdr:to>
    <xdr:sp macro="" textlink="">
      <xdr:nvSpPr>
        <xdr:cNvPr id="8" name="Rectangle 7">
          <a:extLst>
            <a:ext uri="{FF2B5EF4-FFF2-40B4-BE49-F238E27FC236}">
              <a16:creationId xmlns:a16="http://schemas.microsoft.com/office/drawing/2014/main" id="{00000000-0008-0000-0400-000008000000}"/>
            </a:ext>
          </a:extLst>
        </xdr:cNvPr>
        <xdr:cNvSpPr/>
      </xdr:nvSpPr>
      <xdr:spPr>
        <a:xfrm>
          <a:off x="2847975" y="6324600"/>
          <a:ext cx="3562350" cy="15525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Disconnect and connect the cable again. It should change the state from INIT_NO_COMM to OP mode</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state change should be INIT-&gt;OP-&gt;INIT_NO_COMM-&gt;OP</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5</xdr:row>
      <xdr:rowOff>0</xdr:rowOff>
    </xdr:from>
    <xdr:to>
      <xdr:col>3</xdr:col>
      <xdr:colOff>0</xdr:colOff>
      <xdr:row>5</xdr:row>
      <xdr:rowOff>19050</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2847975" y="6315075"/>
          <a:ext cx="356235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5</xdr:row>
      <xdr:rowOff>9525</xdr:rowOff>
    </xdr:from>
    <xdr:to>
      <xdr:col>3</xdr:col>
      <xdr:colOff>0</xdr:colOff>
      <xdr:row>6</xdr:row>
      <xdr:rowOff>0</xdr:rowOff>
    </xdr:to>
    <xdr:sp macro="" textlink="">
      <xdr:nvSpPr>
        <xdr:cNvPr id="11" name="Rectangle 10">
          <a:extLst>
            <a:ext uri="{FF2B5EF4-FFF2-40B4-BE49-F238E27FC236}">
              <a16:creationId xmlns:a16="http://schemas.microsoft.com/office/drawing/2014/main" id="{00000000-0008-0000-0400-00000B000000}"/>
            </a:ext>
          </a:extLst>
        </xdr:cNvPr>
        <xdr:cNvSpPr/>
      </xdr:nvSpPr>
      <xdr:spPr>
        <a:xfrm>
          <a:off x="2847975" y="6324600"/>
          <a:ext cx="3562350" cy="15525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6</xdr:row>
      <xdr:rowOff>0</xdr:rowOff>
    </xdr:from>
    <xdr:to>
      <xdr:col>3</xdr:col>
      <xdr:colOff>0</xdr:colOff>
      <xdr:row>6</xdr:row>
      <xdr:rowOff>19050</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2984500" y="1236345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6</xdr:row>
      <xdr:rowOff>9525</xdr:rowOff>
    </xdr:from>
    <xdr:to>
      <xdr:col>3</xdr:col>
      <xdr:colOff>0</xdr:colOff>
      <xdr:row>7</xdr:row>
      <xdr:rowOff>0</xdr:rowOff>
    </xdr:to>
    <xdr:sp macro="" textlink="">
      <xdr:nvSpPr>
        <xdr:cNvPr id="13" name="Rectangle 12">
          <a:extLst>
            <a:ext uri="{FF2B5EF4-FFF2-40B4-BE49-F238E27FC236}">
              <a16:creationId xmlns:a16="http://schemas.microsoft.com/office/drawing/2014/main" id="{00000000-0008-0000-0400-00000D000000}"/>
            </a:ext>
          </a:extLst>
        </xdr:cNvPr>
        <xdr:cNvSpPr/>
      </xdr:nvSpPr>
      <xdr:spPr>
        <a:xfrm>
          <a:off x="2984500" y="16176625"/>
          <a:ext cx="5194300" cy="28225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Change frquency to 60 MHZ and Program the that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7</xdr:row>
      <xdr:rowOff>0</xdr:rowOff>
    </xdr:from>
    <xdr:to>
      <xdr:col>3</xdr:col>
      <xdr:colOff>0</xdr:colOff>
      <xdr:row>7</xdr:row>
      <xdr:rowOff>19050</xdr:rowOff>
    </xdr:to>
    <xdr:sp macro="" textlink="">
      <xdr:nvSpPr>
        <xdr:cNvPr id="14" name="Rectangle 13">
          <a:extLst>
            <a:ext uri="{FF2B5EF4-FFF2-40B4-BE49-F238E27FC236}">
              <a16:creationId xmlns:a16="http://schemas.microsoft.com/office/drawing/2014/main" id="{00000000-0008-0000-0400-00000E000000}"/>
            </a:ext>
          </a:extLst>
        </xdr:cNvPr>
        <xdr:cNvSpPr/>
      </xdr:nvSpPr>
      <xdr:spPr>
        <a:xfrm>
          <a:off x="2984500" y="161671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7</xdr:row>
      <xdr:rowOff>9525</xdr:rowOff>
    </xdr:from>
    <xdr:to>
      <xdr:col>3</xdr:col>
      <xdr:colOff>0</xdr:colOff>
      <xdr:row>8</xdr:row>
      <xdr:rowOff>0</xdr:rowOff>
    </xdr:to>
    <xdr:sp macro="" textlink="">
      <xdr:nvSpPr>
        <xdr:cNvPr id="15" name="Rectangle 14">
          <a:extLst>
            <a:ext uri="{FF2B5EF4-FFF2-40B4-BE49-F238E27FC236}">
              <a16:creationId xmlns:a16="http://schemas.microsoft.com/office/drawing/2014/main" id="{00000000-0008-0000-0400-00000F000000}"/>
            </a:ext>
          </a:extLst>
        </xdr:cNvPr>
        <xdr:cNvSpPr/>
      </xdr:nvSpPr>
      <xdr:spPr>
        <a:xfrm>
          <a:off x="2984500" y="16176625"/>
          <a:ext cx="5194300" cy="28225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Change frquency to 20 MHZ and Program the that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8</xdr:row>
      <xdr:rowOff>0</xdr:rowOff>
    </xdr:from>
    <xdr:to>
      <xdr:col>3</xdr:col>
      <xdr:colOff>0</xdr:colOff>
      <xdr:row>8</xdr:row>
      <xdr:rowOff>19050</xdr:rowOff>
    </xdr:to>
    <xdr:sp macro="" textlink="">
      <xdr:nvSpPr>
        <xdr:cNvPr id="16" name="Rectangle 15">
          <a:extLst>
            <a:ext uri="{FF2B5EF4-FFF2-40B4-BE49-F238E27FC236}">
              <a16:creationId xmlns:a16="http://schemas.microsoft.com/office/drawing/2014/main" id="{00000000-0008-0000-0400-000010000000}"/>
            </a:ext>
          </a:extLst>
        </xdr:cNvPr>
        <xdr:cNvSpPr/>
      </xdr:nvSpPr>
      <xdr:spPr>
        <a:xfrm>
          <a:off x="2984500" y="189992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8</xdr:row>
      <xdr:rowOff>9525</xdr:rowOff>
    </xdr:from>
    <xdr:to>
      <xdr:col>3</xdr:col>
      <xdr:colOff>0</xdr:colOff>
      <xdr:row>9</xdr:row>
      <xdr:rowOff>0</xdr:rowOff>
    </xdr:to>
    <xdr:sp macro="" textlink="">
      <xdr:nvSpPr>
        <xdr:cNvPr id="17" name="Rectangle 16">
          <a:extLst>
            <a:ext uri="{FF2B5EF4-FFF2-40B4-BE49-F238E27FC236}">
              <a16:creationId xmlns:a16="http://schemas.microsoft.com/office/drawing/2014/main" id="{00000000-0008-0000-0400-000011000000}"/>
            </a:ext>
          </a:extLst>
        </xdr:cNvPr>
        <xdr:cNvSpPr/>
      </xdr:nvSpPr>
      <xdr:spPr>
        <a:xfrm>
          <a:off x="2984500" y="19008725"/>
          <a:ext cx="5194300" cy="18954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Change frquency to 40 MHZ and Program the that image to the controller</a:t>
          </a:r>
          <a:endParaRPr lang="en-US" sz="800">
            <a:effectLst/>
          </a:endParaRPr>
        </a:p>
        <a:p>
          <a:pPr eaLnBrk="1" fontAlgn="auto" latinLnBrk="0" hangingPunct="1"/>
          <a:r>
            <a:rPr lang="en-US" sz="1100" b="0" i="0" baseline="0">
              <a:effectLst/>
              <a:latin typeface="+mn-lt"/>
              <a:ea typeface="+mn-ea"/>
              <a:cs typeface="+mn-cs"/>
            </a:rPr>
            <a:t>2. Connect the EVB In-po	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9</xdr:row>
      <xdr:rowOff>0</xdr:rowOff>
    </xdr:from>
    <xdr:to>
      <xdr:col>3</xdr:col>
      <xdr:colOff>0</xdr:colOff>
      <xdr:row>9</xdr:row>
      <xdr:rowOff>19050</xdr:rowOff>
    </xdr:to>
    <xdr:sp macro="" textlink="">
      <xdr:nvSpPr>
        <xdr:cNvPr id="18" name="Rectangle 17">
          <a:extLst>
            <a:ext uri="{FF2B5EF4-FFF2-40B4-BE49-F238E27FC236}">
              <a16:creationId xmlns:a16="http://schemas.microsoft.com/office/drawing/2014/main" id="{00000000-0008-0000-0400-000012000000}"/>
            </a:ext>
          </a:extLst>
        </xdr:cNvPr>
        <xdr:cNvSpPr/>
      </xdr:nvSpPr>
      <xdr:spPr>
        <a:xfrm>
          <a:off x="2984500" y="209042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9</xdr:row>
      <xdr:rowOff>9525</xdr:rowOff>
    </xdr:from>
    <xdr:to>
      <xdr:col>3</xdr:col>
      <xdr:colOff>0</xdr:colOff>
      <xdr:row>10</xdr:row>
      <xdr:rowOff>0</xdr:rowOff>
    </xdr:to>
    <xdr:sp macro="" textlink="">
      <xdr:nvSpPr>
        <xdr:cNvPr id="19" name="Rectangle 18">
          <a:extLst>
            <a:ext uri="{FF2B5EF4-FFF2-40B4-BE49-F238E27FC236}">
              <a16:creationId xmlns:a16="http://schemas.microsoft.com/office/drawing/2014/main" id="{00000000-0008-0000-0400-000013000000}"/>
            </a:ext>
          </a:extLst>
        </xdr:cNvPr>
        <xdr:cNvSpPr/>
      </xdr:nvSpPr>
      <xdr:spPr>
        <a:xfrm>
          <a:off x="2984500" y="20913725"/>
          <a:ext cx="5194300" cy="27717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Update firmware through FOE by clicking boot strap mode and download option in the TwinCAT.	                                                                                                                              </a:t>
          </a:r>
        </a:p>
        <a:p>
          <a:pPr eaLnBrk="1" fontAlgn="auto" latinLnBrk="0" hangingPunct="1"/>
          <a:r>
            <a:rPr lang="en-US" sz="1100" b="0" i="0" baseline="0">
              <a:effectLst/>
              <a:latin typeface="+mn-lt"/>
              <a:ea typeface="+mn-ea"/>
              <a:cs typeface="+mn-cs"/>
            </a:rPr>
            <a:t>7.  Once firmware update is successfull change mode into INIT. After that click OP mode. </a:t>
          </a:r>
        </a:p>
        <a:p>
          <a:pPr eaLnBrk="1" fontAlgn="auto" latinLnBrk="0" hangingPunct="1"/>
          <a:r>
            <a:rPr lang="en-US" sz="1100" b="0" i="0" baseline="0">
              <a:effectLst/>
              <a:latin typeface="+mn-lt"/>
              <a:ea typeface="+mn-ea"/>
              <a:cs typeface="+mn-cs"/>
            </a:rPr>
            <a:t>8. Check the actual status and should be OP mode. Also check the current status	 </a:t>
          </a:r>
        </a:p>
        <a:p>
          <a:pPr eaLnBrk="1" fontAlgn="auto" latinLnBrk="0" hangingPunct="1"/>
          <a:r>
            <a:rPr lang="en-US" sz="1100" b="0" i="0" baseline="0">
              <a:effectLst/>
              <a:latin typeface="+mn-lt"/>
              <a:ea typeface="+mn-ea"/>
              <a:cs typeface="+mn-cs"/>
            </a:rPr>
            <a:t>9. Enable the Promiscous mode and Activate the configuration</a:t>
          </a:r>
        </a:p>
        <a:p>
          <a:pPr eaLnBrk="1" fontAlgn="auto" latinLnBrk="0" hangingPunct="1"/>
          <a:r>
            <a:rPr lang="en-US" sz="1100" b="0" i="0" baseline="0">
              <a:effectLst/>
              <a:latin typeface="+mn-lt"/>
              <a:ea typeface="+mn-ea"/>
              <a:cs typeface="+mn-cs"/>
            </a:rPr>
            <a:t>10. Use same ESI file in Device configurations of Confirmance test tool (CTT tool)</a:t>
          </a:r>
        </a:p>
        <a:p>
          <a:pPr eaLnBrk="1" fontAlgn="auto" latinLnBrk="0" hangingPunct="1"/>
          <a:r>
            <a:rPr lang="en-US" sz="1100" b="0" i="0" baseline="0">
              <a:effectLst/>
              <a:latin typeface="+mn-lt"/>
              <a:ea typeface="+mn-ea"/>
              <a:cs typeface="+mn-cs"/>
            </a:rPr>
            <a:t>11.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1</xdr:row>
      <xdr:rowOff>9525</xdr:rowOff>
    </xdr:from>
    <xdr:to>
      <xdr:col>3</xdr:col>
      <xdr:colOff>0</xdr:colOff>
      <xdr:row>2</xdr:row>
      <xdr:rowOff>6350</xdr:rowOff>
    </xdr:to>
    <xdr:sp macro="" textlink="">
      <xdr:nvSpPr>
        <xdr:cNvPr id="20" name="Rectangle 19">
          <a:extLst>
            <a:ext uri="{FF2B5EF4-FFF2-40B4-BE49-F238E27FC236}">
              <a16:creationId xmlns:a16="http://schemas.microsoft.com/office/drawing/2014/main" id="{00000000-0008-0000-0400-000014000000}"/>
            </a:ext>
          </a:extLst>
        </xdr:cNvPr>
        <xdr:cNvSpPr/>
      </xdr:nvSpPr>
      <xdr:spPr>
        <a:xfrm>
          <a:off x="2984500" y="542925"/>
          <a:ext cx="5194300" cy="24288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set a breakpoint at Byte order read register</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Should read Byte order register as "0x87654321"</a:t>
          </a:r>
          <a:endParaRPr lang="en-US" sz="800">
            <a:effectLst/>
          </a:endParaRPr>
        </a:p>
      </xdr:txBody>
    </xdr:sp>
    <xdr:clientData/>
  </xdr:twoCellAnchor>
  <xdr:twoCellAnchor>
    <xdr:from>
      <xdr:col>2</xdr:col>
      <xdr:colOff>19050</xdr:colOff>
      <xdr:row>2</xdr:row>
      <xdr:rowOff>0</xdr:rowOff>
    </xdr:from>
    <xdr:to>
      <xdr:col>3</xdr:col>
      <xdr:colOff>0</xdr:colOff>
      <xdr:row>2</xdr:row>
      <xdr:rowOff>19050</xdr:rowOff>
    </xdr:to>
    <xdr:sp macro="" textlink="">
      <xdr:nvSpPr>
        <xdr:cNvPr id="21" name="Rectangle 20">
          <a:extLst>
            <a:ext uri="{FF2B5EF4-FFF2-40B4-BE49-F238E27FC236}">
              <a16:creationId xmlns:a16="http://schemas.microsoft.com/office/drawing/2014/main" id="{00000000-0008-0000-0400-000015000000}"/>
            </a:ext>
          </a:extLst>
        </xdr:cNvPr>
        <xdr:cNvSpPr/>
      </xdr:nvSpPr>
      <xdr:spPr>
        <a:xfrm>
          <a:off x="2984500" y="296545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2</xdr:row>
      <xdr:rowOff>9525</xdr:rowOff>
    </xdr:from>
    <xdr:to>
      <xdr:col>3</xdr:col>
      <xdr:colOff>0</xdr:colOff>
      <xdr:row>3</xdr:row>
      <xdr:rowOff>0</xdr:rowOff>
    </xdr:to>
    <xdr:sp macro="" textlink="">
      <xdr:nvSpPr>
        <xdr:cNvPr id="22" name="Rectangle 21">
          <a:extLst>
            <a:ext uri="{FF2B5EF4-FFF2-40B4-BE49-F238E27FC236}">
              <a16:creationId xmlns:a16="http://schemas.microsoft.com/office/drawing/2014/main" id="{00000000-0008-0000-0400-000016000000}"/>
            </a:ext>
          </a:extLst>
        </xdr:cNvPr>
        <xdr:cNvSpPr/>
      </xdr:nvSpPr>
      <xdr:spPr>
        <a:xfrm>
          <a:off x="2984500" y="2974975"/>
          <a:ext cx="5194300" cy="270192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set a breakpoint at Byte order read register</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Should read Byte order register as "0x87654321"</a:t>
          </a:r>
          <a:endParaRPr lang="en-US" sz="800">
            <a:effectLst/>
          </a:endParaRPr>
        </a:p>
      </xdr:txBody>
    </xdr:sp>
    <xdr:clientData/>
  </xdr:twoCellAnchor>
  <xdr:twoCellAnchor>
    <xdr:from>
      <xdr:col>2</xdr:col>
      <xdr:colOff>19050</xdr:colOff>
      <xdr:row>3</xdr:row>
      <xdr:rowOff>0</xdr:rowOff>
    </xdr:from>
    <xdr:to>
      <xdr:col>3</xdr:col>
      <xdr:colOff>0</xdr:colOff>
      <xdr:row>3</xdr:row>
      <xdr:rowOff>19050</xdr:rowOff>
    </xdr:to>
    <xdr:sp macro="" textlink="">
      <xdr:nvSpPr>
        <xdr:cNvPr id="23" name="Rectangle 22">
          <a:extLst>
            <a:ext uri="{FF2B5EF4-FFF2-40B4-BE49-F238E27FC236}">
              <a16:creationId xmlns:a16="http://schemas.microsoft.com/office/drawing/2014/main" id="{00000000-0008-0000-0400-000017000000}"/>
            </a:ext>
          </a:extLst>
        </xdr:cNvPr>
        <xdr:cNvSpPr/>
      </xdr:nvSpPr>
      <xdr:spPr>
        <a:xfrm>
          <a:off x="2984500" y="56769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3</xdr:row>
      <xdr:rowOff>9525</xdr:rowOff>
    </xdr:from>
    <xdr:to>
      <xdr:col>3</xdr:col>
      <xdr:colOff>0</xdr:colOff>
      <xdr:row>4</xdr:row>
      <xdr:rowOff>0</xdr:rowOff>
    </xdr:to>
    <xdr:sp macro="" textlink="">
      <xdr:nvSpPr>
        <xdr:cNvPr id="24" name="Rectangle 23">
          <a:extLst>
            <a:ext uri="{FF2B5EF4-FFF2-40B4-BE49-F238E27FC236}">
              <a16:creationId xmlns:a16="http://schemas.microsoft.com/office/drawing/2014/main" id="{00000000-0008-0000-0400-000018000000}"/>
            </a:ext>
          </a:extLst>
        </xdr:cNvPr>
        <xdr:cNvSpPr/>
      </xdr:nvSpPr>
      <xdr:spPr>
        <a:xfrm>
          <a:off x="2984500" y="5686425"/>
          <a:ext cx="5194300" cy="310832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p>
        <a:p>
          <a:pPr eaLnBrk="1" fontAlgn="auto" latinLnBrk="0" hangingPunct="1"/>
          <a:r>
            <a:rPr lang="en-US" sz="1100" b="0" i="0" baseline="0">
              <a:effectLst/>
              <a:latin typeface="+mn-lt"/>
              <a:ea typeface="+mn-ea"/>
              <a:cs typeface="+mn-cs"/>
            </a:rPr>
            <a:t>5. Check the actual status and should be OP mode. Also check the current status</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p>
        <a:p>
          <a:pPr eaLnBrk="1" fontAlgn="auto" latinLnBrk="0" hangingPunct="1"/>
          <a:r>
            <a:rPr lang="en-US" sz="1100" b="0" i="0" baseline="0">
              <a:effectLst/>
              <a:latin typeface="+mn-lt"/>
              <a:ea typeface="+mn-ea"/>
              <a:cs typeface="+mn-cs"/>
            </a:rPr>
            <a:t>2. The current status should be "OP" mode</a:t>
          </a:r>
          <a:endParaRPr lang="en-US" sz="800">
            <a:effectLst/>
          </a:endParaRPr>
        </a:p>
      </xdr:txBody>
    </xdr:sp>
    <xdr:clientData/>
  </xdr:twoCellAnchor>
  <xdr:twoCellAnchor>
    <xdr:from>
      <xdr:col>2</xdr:col>
      <xdr:colOff>19050</xdr:colOff>
      <xdr:row>4</xdr:row>
      <xdr:rowOff>0</xdr:rowOff>
    </xdr:from>
    <xdr:to>
      <xdr:col>3</xdr:col>
      <xdr:colOff>0</xdr:colOff>
      <xdr:row>4</xdr:row>
      <xdr:rowOff>19050</xdr:rowOff>
    </xdr:to>
    <xdr:sp macro="" textlink="">
      <xdr:nvSpPr>
        <xdr:cNvPr id="25" name="Rectangle 24">
          <a:extLst>
            <a:ext uri="{FF2B5EF4-FFF2-40B4-BE49-F238E27FC236}">
              <a16:creationId xmlns:a16="http://schemas.microsoft.com/office/drawing/2014/main" id="{00000000-0008-0000-0400-000019000000}"/>
            </a:ext>
          </a:extLst>
        </xdr:cNvPr>
        <xdr:cNvSpPr/>
      </xdr:nvSpPr>
      <xdr:spPr>
        <a:xfrm>
          <a:off x="2984500" y="879475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4</xdr:row>
      <xdr:rowOff>9525</xdr:rowOff>
    </xdr:from>
    <xdr:to>
      <xdr:col>3</xdr:col>
      <xdr:colOff>0</xdr:colOff>
      <xdr:row>5</xdr:row>
      <xdr:rowOff>0</xdr:rowOff>
    </xdr:to>
    <xdr:sp macro="" textlink="">
      <xdr:nvSpPr>
        <xdr:cNvPr id="26" name="Rectangle 25">
          <a:extLst>
            <a:ext uri="{FF2B5EF4-FFF2-40B4-BE49-F238E27FC236}">
              <a16:creationId xmlns:a16="http://schemas.microsoft.com/office/drawing/2014/main" id="{00000000-0008-0000-0400-00001A000000}"/>
            </a:ext>
          </a:extLst>
        </xdr:cNvPr>
        <xdr:cNvSpPr/>
      </xdr:nvSpPr>
      <xdr:spPr>
        <a:xfrm>
          <a:off x="2984500" y="8804275"/>
          <a:ext cx="5194300" cy="35591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Disconnect and connect the cable again. It should change the state from INIT_NO_COMM to OP mode</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state change should be INIT-&gt;OP-&gt;INIT_NO_COMM-&gt;OP</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5</xdr:row>
      <xdr:rowOff>0</xdr:rowOff>
    </xdr:from>
    <xdr:to>
      <xdr:col>3</xdr:col>
      <xdr:colOff>0</xdr:colOff>
      <xdr:row>5</xdr:row>
      <xdr:rowOff>19050</xdr:rowOff>
    </xdr:to>
    <xdr:sp macro="" textlink="">
      <xdr:nvSpPr>
        <xdr:cNvPr id="27" name="Rectangle 26">
          <a:extLst>
            <a:ext uri="{FF2B5EF4-FFF2-40B4-BE49-F238E27FC236}">
              <a16:creationId xmlns:a16="http://schemas.microsoft.com/office/drawing/2014/main" id="{00000000-0008-0000-0400-00001B000000}"/>
            </a:ext>
          </a:extLst>
        </xdr:cNvPr>
        <xdr:cNvSpPr/>
      </xdr:nvSpPr>
      <xdr:spPr>
        <a:xfrm>
          <a:off x="2984500" y="1236345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5</xdr:row>
      <xdr:rowOff>9525</xdr:rowOff>
    </xdr:from>
    <xdr:to>
      <xdr:col>3</xdr:col>
      <xdr:colOff>0</xdr:colOff>
      <xdr:row>6</xdr:row>
      <xdr:rowOff>0</xdr:rowOff>
    </xdr:to>
    <xdr:sp macro="" textlink="">
      <xdr:nvSpPr>
        <xdr:cNvPr id="28" name="Rectangle 27">
          <a:extLst>
            <a:ext uri="{FF2B5EF4-FFF2-40B4-BE49-F238E27FC236}">
              <a16:creationId xmlns:a16="http://schemas.microsoft.com/office/drawing/2014/main" id="{00000000-0008-0000-0400-00001C000000}"/>
            </a:ext>
          </a:extLst>
        </xdr:cNvPr>
        <xdr:cNvSpPr/>
      </xdr:nvSpPr>
      <xdr:spPr>
        <a:xfrm>
          <a:off x="2984500" y="12372975"/>
          <a:ext cx="5194300" cy="379412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6</xdr:row>
      <xdr:rowOff>0</xdr:rowOff>
    </xdr:from>
    <xdr:to>
      <xdr:col>3</xdr:col>
      <xdr:colOff>0</xdr:colOff>
      <xdr:row>6</xdr:row>
      <xdr:rowOff>19050</xdr:rowOff>
    </xdr:to>
    <xdr:sp macro="" textlink="">
      <xdr:nvSpPr>
        <xdr:cNvPr id="29" name="Rectangle 28">
          <a:extLst>
            <a:ext uri="{FF2B5EF4-FFF2-40B4-BE49-F238E27FC236}">
              <a16:creationId xmlns:a16="http://schemas.microsoft.com/office/drawing/2014/main" id="{00000000-0008-0000-0400-00001D000000}"/>
            </a:ext>
          </a:extLst>
        </xdr:cNvPr>
        <xdr:cNvSpPr/>
      </xdr:nvSpPr>
      <xdr:spPr>
        <a:xfrm>
          <a:off x="2984500" y="161671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6</xdr:row>
      <xdr:rowOff>9525</xdr:rowOff>
    </xdr:from>
    <xdr:to>
      <xdr:col>3</xdr:col>
      <xdr:colOff>0</xdr:colOff>
      <xdr:row>7</xdr:row>
      <xdr:rowOff>0</xdr:rowOff>
    </xdr:to>
    <xdr:sp macro="" textlink="">
      <xdr:nvSpPr>
        <xdr:cNvPr id="30" name="Rectangle 29">
          <a:extLst>
            <a:ext uri="{FF2B5EF4-FFF2-40B4-BE49-F238E27FC236}">
              <a16:creationId xmlns:a16="http://schemas.microsoft.com/office/drawing/2014/main" id="{00000000-0008-0000-0400-00001E000000}"/>
            </a:ext>
          </a:extLst>
        </xdr:cNvPr>
        <xdr:cNvSpPr/>
      </xdr:nvSpPr>
      <xdr:spPr>
        <a:xfrm>
          <a:off x="2984500" y="16176625"/>
          <a:ext cx="5194300" cy="28225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Change frquency to 60 MHZ and Program the that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7</xdr:row>
      <xdr:rowOff>0</xdr:rowOff>
    </xdr:from>
    <xdr:to>
      <xdr:col>3</xdr:col>
      <xdr:colOff>0</xdr:colOff>
      <xdr:row>7</xdr:row>
      <xdr:rowOff>19050</xdr:rowOff>
    </xdr:to>
    <xdr:sp macro="" textlink="">
      <xdr:nvSpPr>
        <xdr:cNvPr id="31" name="Rectangle 30">
          <a:extLst>
            <a:ext uri="{FF2B5EF4-FFF2-40B4-BE49-F238E27FC236}">
              <a16:creationId xmlns:a16="http://schemas.microsoft.com/office/drawing/2014/main" id="{00000000-0008-0000-0400-00001F000000}"/>
            </a:ext>
          </a:extLst>
        </xdr:cNvPr>
        <xdr:cNvSpPr/>
      </xdr:nvSpPr>
      <xdr:spPr>
        <a:xfrm>
          <a:off x="2984500" y="189992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7</xdr:row>
      <xdr:rowOff>9525</xdr:rowOff>
    </xdr:from>
    <xdr:to>
      <xdr:col>3</xdr:col>
      <xdr:colOff>0</xdr:colOff>
      <xdr:row>8</xdr:row>
      <xdr:rowOff>0</xdr:rowOff>
    </xdr:to>
    <xdr:sp macro="" textlink="">
      <xdr:nvSpPr>
        <xdr:cNvPr id="32" name="Rectangle 31">
          <a:extLst>
            <a:ext uri="{FF2B5EF4-FFF2-40B4-BE49-F238E27FC236}">
              <a16:creationId xmlns:a16="http://schemas.microsoft.com/office/drawing/2014/main" id="{00000000-0008-0000-0400-000020000000}"/>
            </a:ext>
          </a:extLst>
        </xdr:cNvPr>
        <xdr:cNvSpPr/>
      </xdr:nvSpPr>
      <xdr:spPr>
        <a:xfrm>
          <a:off x="2984500" y="19008725"/>
          <a:ext cx="5194300" cy="18954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Change frquency to 20 MHZ and Program the that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8</xdr:row>
      <xdr:rowOff>0</xdr:rowOff>
    </xdr:from>
    <xdr:to>
      <xdr:col>3</xdr:col>
      <xdr:colOff>0</xdr:colOff>
      <xdr:row>8</xdr:row>
      <xdr:rowOff>19050</xdr:rowOff>
    </xdr:to>
    <xdr:sp macro="" textlink="">
      <xdr:nvSpPr>
        <xdr:cNvPr id="33" name="Rectangle 32">
          <a:extLst>
            <a:ext uri="{FF2B5EF4-FFF2-40B4-BE49-F238E27FC236}">
              <a16:creationId xmlns:a16="http://schemas.microsoft.com/office/drawing/2014/main" id="{00000000-0008-0000-0400-000021000000}"/>
            </a:ext>
          </a:extLst>
        </xdr:cNvPr>
        <xdr:cNvSpPr/>
      </xdr:nvSpPr>
      <xdr:spPr>
        <a:xfrm>
          <a:off x="2984500" y="209042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8</xdr:row>
      <xdr:rowOff>9525</xdr:rowOff>
    </xdr:from>
    <xdr:to>
      <xdr:col>3</xdr:col>
      <xdr:colOff>0</xdr:colOff>
      <xdr:row>9</xdr:row>
      <xdr:rowOff>0</xdr:rowOff>
    </xdr:to>
    <xdr:sp macro="" textlink="">
      <xdr:nvSpPr>
        <xdr:cNvPr id="34" name="Rectangle 33">
          <a:extLst>
            <a:ext uri="{FF2B5EF4-FFF2-40B4-BE49-F238E27FC236}">
              <a16:creationId xmlns:a16="http://schemas.microsoft.com/office/drawing/2014/main" id="{00000000-0008-0000-0400-000022000000}"/>
            </a:ext>
          </a:extLst>
        </xdr:cNvPr>
        <xdr:cNvSpPr/>
      </xdr:nvSpPr>
      <xdr:spPr>
        <a:xfrm>
          <a:off x="2984500" y="20913725"/>
          <a:ext cx="5194300" cy="27717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Change frquency to 40 MHZ and Program the that image to the controller</a:t>
          </a:r>
          <a:endParaRPr lang="en-US" sz="800">
            <a:effectLst/>
          </a:endParaRPr>
        </a:p>
        <a:p>
          <a:pPr eaLnBrk="1" fontAlgn="auto" latinLnBrk="0" hangingPunct="1"/>
          <a:r>
            <a:rPr lang="en-US" sz="1100" b="0" i="0" baseline="0">
              <a:effectLst/>
              <a:latin typeface="+mn-lt"/>
              <a:ea typeface="+mn-ea"/>
              <a:cs typeface="+mn-cs"/>
            </a:rPr>
            <a:t>2. Connect the EVB In-po	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9</xdr:row>
      <xdr:rowOff>0</xdr:rowOff>
    </xdr:from>
    <xdr:to>
      <xdr:col>3</xdr:col>
      <xdr:colOff>0</xdr:colOff>
      <xdr:row>9</xdr:row>
      <xdr:rowOff>19050</xdr:rowOff>
    </xdr:to>
    <xdr:sp macro="" textlink="">
      <xdr:nvSpPr>
        <xdr:cNvPr id="35" name="Rectangle 34">
          <a:extLst>
            <a:ext uri="{FF2B5EF4-FFF2-40B4-BE49-F238E27FC236}">
              <a16:creationId xmlns:a16="http://schemas.microsoft.com/office/drawing/2014/main" id="{00000000-0008-0000-0400-000023000000}"/>
            </a:ext>
          </a:extLst>
        </xdr:cNvPr>
        <xdr:cNvSpPr/>
      </xdr:nvSpPr>
      <xdr:spPr>
        <a:xfrm>
          <a:off x="2984500" y="236855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9</xdr:row>
      <xdr:rowOff>9525</xdr:rowOff>
    </xdr:from>
    <xdr:to>
      <xdr:col>3</xdr:col>
      <xdr:colOff>0</xdr:colOff>
      <xdr:row>10</xdr:row>
      <xdr:rowOff>0</xdr:rowOff>
    </xdr:to>
    <xdr:sp macro="" textlink="">
      <xdr:nvSpPr>
        <xdr:cNvPr id="36" name="Rectangle 35">
          <a:extLst>
            <a:ext uri="{FF2B5EF4-FFF2-40B4-BE49-F238E27FC236}">
              <a16:creationId xmlns:a16="http://schemas.microsoft.com/office/drawing/2014/main" id="{00000000-0008-0000-0400-000024000000}"/>
            </a:ext>
          </a:extLst>
        </xdr:cNvPr>
        <xdr:cNvSpPr/>
      </xdr:nvSpPr>
      <xdr:spPr>
        <a:xfrm>
          <a:off x="2984500" y="23695025"/>
          <a:ext cx="5194300" cy="26574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Update firmware through FOE by clicking boot strap mode and download option in the TwinCAT.	                                                                                                                              </a:t>
          </a:r>
        </a:p>
        <a:p>
          <a:pPr eaLnBrk="1" fontAlgn="auto" latinLnBrk="0" hangingPunct="1"/>
          <a:r>
            <a:rPr lang="en-US" sz="1100" b="0" i="0" baseline="0">
              <a:effectLst/>
              <a:latin typeface="+mn-lt"/>
              <a:ea typeface="+mn-ea"/>
              <a:cs typeface="+mn-cs"/>
            </a:rPr>
            <a:t>7.  Once firmware update is successfull change mode into INIT. After that click OP mode. </a:t>
          </a:r>
        </a:p>
        <a:p>
          <a:pPr eaLnBrk="1" fontAlgn="auto" latinLnBrk="0" hangingPunct="1"/>
          <a:r>
            <a:rPr lang="en-US" sz="1100" b="0" i="0" baseline="0">
              <a:effectLst/>
              <a:latin typeface="+mn-lt"/>
              <a:ea typeface="+mn-ea"/>
              <a:cs typeface="+mn-cs"/>
            </a:rPr>
            <a:t>8. Check the actual status and should be OP mode. Also check the current status	 </a:t>
          </a:r>
        </a:p>
        <a:p>
          <a:pPr eaLnBrk="1" fontAlgn="auto" latinLnBrk="0" hangingPunct="1"/>
          <a:r>
            <a:rPr lang="en-US" sz="1100" b="0" i="0" baseline="0">
              <a:effectLst/>
              <a:latin typeface="+mn-lt"/>
              <a:ea typeface="+mn-ea"/>
              <a:cs typeface="+mn-cs"/>
            </a:rPr>
            <a:t>9. Enable the Promiscous mode and Activate the configuration</a:t>
          </a:r>
        </a:p>
        <a:p>
          <a:pPr eaLnBrk="1" fontAlgn="auto" latinLnBrk="0" hangingPunct="1"/>
          <a:r>
            <a:rPr lang="en-US" sz="1100" b="0" i="0" baseline="0">
              <a:effectLst/>
              <a:latin typeface="+mn-lt"/>
              <a:ea typeface="+mn-ea"/>
              <a:cs typeface="+mn-cs"/>
            </a:rPr>
            <a:t>10. Use same ESI file in Device configurations of Confirmance test tool (CTT tool)</a:t>
          </a:r>
        </a:p>
        <a:p>
          <a:pPr eaLnBrk="1" fontAlgn="auto" latinLnBrk="0" hangingPunct="1"/>
          <a:r>
            <a:rPr lang="en-US" sz="1100" b="0" i="0" baseline="0">
              <a:effectLst/>
              <a:latin typeface="+mn-lt"/>
              <a:ea typeface="+mn-ea"/>
              <a:cs typeface="+mn-cs"/>
            </a:rPr>
            <a:t>11.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1</xdr:row>
      <xdr:rowOff>9525</xdr:rowOff>
    </xdr:from>
    <xdr:to>
      <xdr:col>3</xdr:col>
      <xdr:colOff>0</xdr:colOff>
      <xdr:row>2</xdr:row>
      <xdr:rowOff>6350</xdr:rowOff>
    </xdr:to>
    <xdr:sp macro="" textlink="">
      <xdr:nvSpPr>
        <xdr:cNvPr id="37" name="Rectangle 36">
          <a:extLst>
            <a:ext uri="{FF2B5EF4-FFF2-40B4-BE49-F238E27FC236}">
              <a16:creationId xmlns:a16="http://schemas.microsoft.com/office/drawing/2014/main" id="{00000000-0008-0000-0400-000025000000}"/>
            </a:ext>
          </a:extLst>
        </xdr:cNvPr>
        <xdr:cNvSpPr/>
      </xdr:nvSpPr>
      <xdr:spPr>
        <a:xfrm>
          <a:off x="2984500" y="542925"/>
          <a:ext cx="5194300" cy="24288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set a breakpoint at Byte order read register</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Should read Byte order register as "0x87654321"</a:t>
          </a:r>
          <a:endParaRPr lang="en-US" sz="800">
            <a:effectLst/>
          </a:endParaRPr>
        </a:p>
      </xdr:txBody>
    </xdr:sp>
    <xdr:clientData/>
  </xdr:twoCellAnchor>
  <xdr:twoCellAnchor>
    <xdr:from>
      <xdr:col>2</xdr:col>
      <xdr:colOff>19050</xdr:colOff>
      <xdr:row>2</xdr:row>
      <xdr:rowOff>0</xdr:rowOff>
    </xdr:from>
    <xdr:to>
      <xdr:col>3</xdr:col>
      <xdr:colOff>0</xdr:colOff>
      <xdr:row>2</xdr:row>
      <xdr:rowOff>19050</xdr:rowOff>
    </xdr:to>
    <xdr:sp macro="" textlink="">
      <xdr:nvSpPr>
        <xdr:cNvPr id="38" name="Rectangle 37">
          <a:extLst>
            <a:ext uri="{FF2B5EF4-FFF2-40B4-BE49-F238E27FC236}">
              <a16:creationId xmlns:a16="http://schemas.microsoft.com/office/drawing/2014/main" id="{00000000-0008-0000-0400-000026000000}"/>
            </a:ext>
          </a:extLst>
        </xdr:cNvPr>
        <xdr:cNvSpPr/>
      </xdr:nvSpPr>
      <xdr:spPr>
        <a:xfrm>
          <a:off x="2984500" y="296545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2</xdr:row>
      <xdr:rowOff>9525</xdr:rowOff>
    </xdr:from>
    <xdr:to>
      <xdr:col>3</xdr:col>
      <xdr:colOff>0</xdr:colOff>
      <xdr:row>3</xdr:row>
      <xdr:rowOff>0</xdr:rowOff>
    </xdr:to>
    <xdr:sp macro="" textlink="">
      <xdr:nvSpPr>
        <xdr:cNvPr id="39" name="Rectangle 38">
          <a:extLst>
            <a:ext uri="{FF2B5EF4-FFF2-40B4-BE49-F238E27FC236}">
              <a16:creationId xmlns:a16="http://schemas.microsoft.com/office/drawing/2014/main" id="{00000000-0008-0000-0400-000027000000}"/>
            </a:ext>
          </a:extLst>
        </xdr:cNvPr>
        <xdr:cNvSpPr/>
      </xdr:nvSpPr>
      <xdr:spPr>
        <a:xfrm>
          <a:off x="2984500" y="2974975"/>
          <a:ext cx="5194300" cy="270192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set a breakpoint at Byte order read register</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Should read Byte order register as "0x87654321"</a:t>
          </a:r>
          <a:endParaRPr lang="en-US" sz="800">
            <a:effectLst/>
          </a:endParaRPr>
        </a:p>
      </xdr:txBody>
    </xdr:sp>
    <xdr:clientData/>
  </xdr:twoCellAnchor>
  <xdr:twoCellAnchor>
    <xdr:from>
      <xdr:col>2</xdr:col>
      <xdr:colOff>19050</xdr:colOff>
      <xdr:row>3</xdr:row>
      <xdr:rowOff>0</xdr:rowOff>
    </xdr:from>
    <xdr:to>
      <xdr:col>3</xdr:col>
      <xdr:colOff>0</xdr:colOff>
      <xdr:row>3</xdr:row>
      <xdr:rowOff>19050</xdr:rowOff>
    </xdr:to>
    <xdr:sp macro="" textlink="">
      <xdr:nvSpPr>
        <xdr:cNvPr id="40" name="Rectangle 39">
          <a:extLst>
            <a:ext uri="{FF2B5EF4-FFF2-40B4-BE49-F238E27FC236}">
              <a16:creationId xmlns:a16="http://schemas.microsoft.com/office/drawing/2014/main" id="{00000000-0008-0000-0400-000028000000}"/>
            </a:ext>
          </a:extLst>
        </xdr:cNvPr>
        <xdr:cNvSpPr/>
      </xdr:nvSpPr>
      <xdr:spPr>
        <a:xfrm>
          <a:off x="2984500" y="56769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3</xdr:row>
      <xdr:rowOff>9525</xdr:rowOff>
    </xdr:from>
    <xdr:to>
      <xdr:col>3</xdr:col>
      <xdr:colOff>0</xdr:colOff>
      <xdr:row>4</xdr:row>
      <xdr:rowOff>0</xdr:rowOff>
    </xdr:to>
    <xdr:sp macro="" textlink="">
      <xdr:nvSpPr>
        <xdr:cNvPr id="41" name="Rectangle 40">
          <a:extLst>
            <a:ext uri="{FF2B5EF4-FFF2-40B4-BE49-F238E27FC236}">
              <a16:creationId xmlns:a16="http://schemas.microsoft.com/office/drawing/2014/main" id="{00000000-0008-0000-0400-000029000000}"/>
            </a:ext>
          </a:extLst>
        </xdr:cNvPr>
        <xdr:cNvSpPr/>
      </xdr:nvSpPr>
      <xdr:spPr>
        <a:xfrm>
          <a:off x="2984500" y="5686425"/>
          <a:ext cx="5194300" cy="310832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p>
        <a:p>
          <a:pPr eaLnBrk="1" fontAlgn="auto" latinLnBrk="0" hangingPunct="1"/>
          <a:r>
            <a:rPr lang="en-US" sz="1100" b="0" i="0" baseline="0">
              <a:effectLst/>
              <a:latin typeface="+mn-lt"/>
              <a:ea typeface="+mn-ea"/>
              <a:cs typeface="+mn-cs"/>
            </a:rPr>
            <a:t>5. Check the actual status and should be OP mode. Also check the current status</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p>
        <a:p>
          <a:pPr eaLnBrk="1" fontAlgn="auto" latinLnBrk="0" hangingPunct="1"/>
          <a:r>
            <a:rPr lang="en-US" sz="1100" b="0" i="0" baseline="0">
              <a:effectLst/>
              <a:latin typeface="+mn-lt"/>
              <a:ea typeface="+mn-ea"/>
              <a:cs typeface="+mn-cs"/>
            </a:rPr>
            <a:t>2. The current status should be "OP" mode</a:t>
          </a:r>
          <a:endParaRPr lang="en-US" sz="800">
            <a:effectLst/>
          </a:endParaRPr>
        </a:p>
      </xdr:txBody>
    </xdr:sp>
    <xdr:clientData/>
  </xdr:twoCellAnchor>
  <xdr:twoCellAnchor>
    <xdr:from>
      <xdr:col>2</xdr:col>
      <xdr:colOff>19050</xdr:colOff>
      <xdr:row>4</xdr:row>
      <xdr:rowOff>0</xdr:rowOff>
    </xdr:from>
    <xdr:to>
      <xdr:col>3</xdr:col>
      <xdr:colOff>0</xdr:colOff>
      <xdr:row>4</xdr:row>
      <xdr:rowOff>19050</xdr:rowOff>
    </xdr:to>
    <xdr:sp macro="" textlink="">
      <xdr:nvSpPr>
        <xdr:cNvPr id="42" name="Rectangle 41">
          <a:extLst>
            <a:ext uri="{FF2B5EF4-FFF2-40B4-BE49-F238E27FC236}">
              <a16:creationId xmlns:a16="http://schemas.microsoft.com/office/drawing/2014/main" id="{00000000-0008-0000-0400-00002A000000}"/>
            </a:ext>
          </a:extLst>
        </xdr:cNvPr>
        <xdr:cNvSpPr/>
      </xdr:nvSpPr>
      <xdr:spPr>
        <a:xfrm>
          <a:off x="2984500" y="879475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4</xdr:row>
      <xdr:rowOff>9525</xdr:rowOff>
    </xdr:from>
    <xdr:to>
      <xdr:col>3</xdr:col>
      <xdr:colOff>0</xdr:colOff>
      <xdr:row>5</xdr:row>
      <xdr:rowOff>0</xdr:rowOff>
    </xdr:to>
    <xdr:sp macro="" textlink="">
      <xdr:nvSpPr>
        <xdr:cNvPr id="43" name="Rectangle 42">
          <a:extLst>
            <a:ext uri="{FF2B5EF4-FFF2-40B4-BE49-F238E27FC236}">
              <a16:creationId xmlns:a16="http://schemas.microsoft.com/office/drawing/2014/main" id="{00000000-0008-0000-0400-00002B000000}"/>
            </a:ext>
          </a:extLst>
        </xdr:cNvPr>
        <xdr:cNvSpPr/>
      </xdr:nvSpPr>
      <xdr:spPr>
        <a:xfrm>
          <a:off x="2984500" y="8804275"/>
          <a:ext cx="5194300" cy="35591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Disconnect and connect the cable again. It should change the state from INIT_NO_COMM to OP mode</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state change should be INIT-&gt;OP-&gt;INIT_NO_COMM-&gt;OP</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5</xdr:row>
      <xdr:rowOff>0</xdr:rowOff>
    </xdr:from>
    <xdr:to>
      <xdr:col>3</xdr:col>
      <xdr:colOff>0</xdr:colOff>
      <xdr:row>5</xdr:row>
      <xdr:rowOff>19050</xdr:rowOff>
    </xdr:to>
    <xdr:sp macro="" textlink="">
      <xdr:nvSpPr>
        <xdr:cNvPr id="44" name="Rectangle 43">
          <a:extLst>
            <a:ext uri="{FF2B5EF4-FFF2-40B4-BE49-F238E27FC236}">
              <a16:creationId xmlns:a16="http://schemas.microsoft.com/office/drawing/2014/main" id="{00000000-0008-0000-0400-00002C000000}"/>
            </a:ext>
          </a:extLst>
        </xdr:cNvPr>
        <xdr:cNvSpPr/>
      </xdr:nvSpPr>
      <xdr:spPr>
        <a:xfrm>
          <a:off x="2984500" y="1236345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5</xdr:row>
      <xdr:rowOff>9525</xdr:rowOff>
    </xdr:from>
    <xdr:to>
      <xdr:col>3</xdr:col>
      <xdr:colOff>0</xdr:colOff>
      <xdr:row>6</xdr:row>
      <xdr:rowOff>0</xdr:rowOff>
    </xdr:to>
    <xdr:sp macro="" textlink="">
      <xdr:nvSpPr>
        <xdr:cNvPr id="45" name="Rectangle 44">
          <a:extLst>
            <a:ext uri="{FF2B5EF4-FFF2-40B4-BE49-F238E27FC236}">
              <a16:creationId xmlns:a16="http://schemas.microsoft.com/office/drawing/2014/main" id="{00000000-0008-0000-0400-00002D000000}"/>
            </a:ext>
          </a:extLst>
        </xdr:cNvPr>
        <xdr:cNvSpPr/>
      </xdr:nvSpPr>
      <xdr:spPr>
        <a:xfrm>
          <a:off x="2984500" y="12372975"/>
          <a:ext cx="5194300" cy="379412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6</xdr:row>
      <xdr:rowOff>0</xdr:rowOff>
    </xdr:from>
    <xdr:to>
      <xdr:col>3</xdr:col>
      <xdr:colOff>0</xdr:colOff>
      <xdr:row>6</xdr:row>
      <xdr:rowOff>19050</xdr:rowOff>
    </xdr:to>
    <xdr:sp macro="" textlink="">
      <xdr:nvSpPr>
        <xdr:cNvPr id="46" name="Rectangle 45">
          <a:extLst>
            <a:ext uri="{FF2B5EF4-FFF2-40B4-BE49-F238E27FC236}">
              <a16:creationId xmlns:a16="http://schemas.microsoft.com/office/drawing/2014/main" id="{00000000-0008-0000-0400-00002E000000}"/>
            </a:ext>
          </a:extLst>
        </xdr:cNvPr>
        <xdr:cNvSpPr/>
      </xdr:nvSpPr>
      <xdr:spPr>
        <a:xfrm>
          <a:off x="2984500" y="161671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6</xdr:row>
      <xdr:rowOff>9525</xdr:rowOff>
    </xdr:from>
    <xdr:to>
      <xdr:col>3</xdr:col>
      <xdr:colOff>0</xdr:colOff>
      <xdr:row>7</xdr:row>
      <xdr:rowOff>0</xdr:rowOff>
    </xdr:to>
    <xdr:sp macro="" textlink="">
      <xdr:nvSpPr>
        <xdr:cNvPr id="47" name="Rectangle 46">
          <a:extLst>
            <a:ext uri="{FF2B5EF4-FFF2-40B4-BE49-F238E27FC236}">
              <a16:creationId xmlns:a16="http://schemas.microsoft.com/office/drawing/2014/main" id="{00000000-0008-0000-0400-00002F000000}"/>
            </a:ext>
          </a:extLst>
        </xdr:cNvPr>
        <xdr:cNvSpPr/>
      </xdr:nvSpPr>
      <xdr:spPr>
        <a:xfrm>
          <a:off x="2984500" y="16176625"/>
          <a:ext cx="5194300" cy="28225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Change frquency to 60 MHZ and Program the that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7</xdr:row>
      <xdr:rowOff>0</xdr:rowOff>
    </xdr:from>
    <xdr:to>
      <xdr:col>3</xdr:col>
      <xdr:colOff>0</xdr:colOff>
      <xdr:row>7</xdr:row>
      <xdr:rowOff>19050</xdr:rowOff>
    </xdr:to>
    <xdr:sp macro="" textlink="">
      <xdr:nvSpPr>
        <xdr:cNvPr id="48" name="Rectangle 47">
          <a:extLst>
            <a:ext uri="{FF2B5EF4-FFF2-40B4-BE49-F238E27FC236}">
              <a16:creationId xmlns:a16="http://schemas.microsoft.com/office/drawing/2014/main" id="{00000000-0008-0000-0400-000030000000}"/>
            </a:ext>
          </a:extLst>
        </xdr:cNvPr>
        <xdr:cNvSpPr/>
      </xdr:nvSpPr>
      <xdr:spPr>
        <a:xfrm>
          <a:off x="2984500" y="189992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7</xdr:row>
      <xdr:rowOff>9525</xdr:rowOff>
    </xdr:from>
    <xdr:to>
      <xdr:col>3</xdr:col>
      <xdr:colOff>0</xdr:colOff>
      <xdr:row>8</xdr:row>
      <xdr:rowOff>0</xdr:rowOff>
    </xdr:to>
    <xdr:sp macro="" textlink="">
      <xdr:nvSpPr>
        <xdr:cNvPr id="49" name="Rectangle 48">
          <a:extLst>
            <a:ext uri="{FF2B5EF4-FFF2-40B4-BE49-F238E27FC236}">
              <a16:creationId xmlns:a16="http://schemas.microsoft.com/office/drawing/2014/main" id="{00000000-0008-0000-0400-000031000000}"/>
            </a:ext>
          </a:extLst>
        </xdr:cNvPr>
        <xdr:cNvSpPr/>
      </xdr:nvSpPr>
      <xdr:spPr>
        <a:xfrm>
          <a:off x="2984500" y="19008725"/>
          <a:ext cx="5194300" cy="18954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Change frquency to 20 MHZ and Program the that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8</xdr:row>
      <xdr:rowOff>0</xdr:rowOff>
    </xdr:from>
    <xdr:to>
      <xdr:col>3</xdr:col>
      <xdr:colOff>0</xdr:colOff>
      <xdr:row>8</xdr:row>
      <xdr:rowOff>19050</xdr:rowOff>
    </xdr:to>
    <xdr:sp macro="" textlink="">
      <xdr:nvSpPr>
        <xdr:cNvPr id="50" name="Rectangle 49">
          <a:extLst>
            <a:ext uri="{FF2B5EF4-FFF2-40B4-BE49-F238E27FC236}">
              <a16:creationId xmlns:a16="http://schemas.microsoft.com/office/drawing/2014/main" id="{00000000-0008-0000-0400-000032000000}"/>
            </a:ext>
          </a:extLst>
        </xdr:cNvPr>
        <xdr:cNvSpPr/>
      </xdr:nvSpPr>
      <xdr:spPr>
        <a:xfrm>
          <a:off x="2984500" y="209042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8</xdr:row>
      <xdr:rowOff>9525</xdr:rowOff>
    </xdr:from>
    <xdr:to>
      <xdr:col>3</xdr:col>
      <xdr:colOff>0</xdr:colOff>
      <xdr:row>9</xdr:row>
      <xdr:rowOff>0</xdr:rowOff>
    </xdr:to>
    <xdr:sp macro="" textlink="">
      <xdr:nvSpPr>
        <xdr:cNvPr id="51" name="Rectangle 50">
          <a:extLst>
            <a:ext uri="{FF2B5EF4-FFF2-40B4-BE49-F238E27FC236}">
              <a16:creationId xmlns:a16="http://schemas.microsoft.com/office/drawing/2014/main" id="{00000000-0008-0000-0400-000033000000}"/>
            </a:ext>
          </a:extLst>
        </xdr:cNvPr>
        <xdr:cNvSpPr/>
      </xdr:nvSpPr>
      <xdr:spPr>
        <a:xfrm>
          <a:off x="2984500" y="20913725"/>
          <a:ext cx="5194300" cy="27717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Change frquency to 40 MHZ and Program the that image to the controller</a:t>
          </a:r>
          <a:endParaRPr lang="en-US" sz="800">
            <a:effectLst/>
          </a:endParaRPr>
        </a:p>
        <a:p>
          <a:pPr eaLnBrk="1" fontAlgn="auto" latinLnBrk="0" hangingPunct="1"/>
          <a:r>
            <a:rPr lang="en-US" sz="1100" b="0" i="0" baseline="0">
              <a:effectLst/>
              <a:latin typeface="+mn-lt"/>
              <a:ea typeface="+mn-ea"/>
              <a:cs typeface="+mn-cs"/>
            </a:rPr>
            <a:t>2. Connect the EVB In-po	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Enable the Promiscous mode and Activate the configuration</a:t>
          </a:r>
        </a:p>
        <a:p>
          <a:pPr eaLnBrk="1" fontAlgn="auto" latinLnBrk="0" hangingPunct="1"/>
          <a:r>
            <a:rPr lang="en-US" sz="1100" b="0" i="0" baseline="0">
              <a:effectLst/>
              <a:latin typeface="+mn-lt"/>
              <a:ea typeface="+mn-ea"/>
              <a:cs typeface="+mn-cs"/>
            </a:rPr>
            <a:t>7. Use same ESI file in Device configurations of Confirmance test tool (CTT tool)</a:t>
          </a:r>
        </a:p>
        <a:p>
          <a:pPr eaLnBrk="1" fontAlgn="auto" latinLnBrk="0" hangingPunct="1"/>
          <a:r>
            <a:rPr lang="en-US" sz="1100" b="0" i="0" baseline="0">
              <a:effectLst/>
              <a:latin typeface="+mn-lt"/>
              <a:ea typeface="+mn-ea"/>
              <a:cs typeface="+mn-cs"/>
            </a:rPr>
            <a:t>8.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9</xdr:row>
      <xdr:rowOff>0</xdr:rowOff>
    </xdr:from>
    <xdr:to>
      <xdr:col>3</xdr:col>
      <xdr:colOff>0</xdr:colOff>
      <xdr:row>9</xdr:row>
      <xdr:rowOff>19050</xdr:rowOff>
    </xdr:to>
    <xdr:sp macro="" textlink="">
      <xdr:nvSpPr>
        <xdr:cNvPr id="52" name="Rectangle 51">
          <a:extLst>
            <a:ext uri="{FF2B5EF4-FFF2-40B4-BE49-F238E27FC236}">
              <a16:creationId xmlns:a16="http://schemas.microsoft.com/office/drawing/2014/main" id="{00000000-0008-0000-0400-000034000000}"/>
            </a:ext>
          </a:extLst>
        </xdr:cNvPr>
        <xdr:cNvSpPr/>
      </xdr:nvSpPr>
      <xdr:spPr>
        <a:xfrm>
          <a:off x="2984500" y="236855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9</xdr:row>
      <xdr:rowOff>9525</xdr:rowOff>
    </xdr:from>
    <xdr:to>
      <xdr:col>3</xdr:col>
      <xdr:colOff>0</xdr:colOff>
      <xdr:row>10</xdr:row>
      <xdr:rowOff>0</xdr:rowOff>
    </xdr:to>
    <xdr:sp macro="" textlink="">
      <xdr:nvSpPr>
        <xdr:cNvPr id="53" name="Rectangle 52">
          <a:extLst>
            <a:ext uri="{FF2B5EF4-FFF2-40B4-BE49-F238E27FC236}">
              <a16:creationId xmlns:a16="http://schemas.microsoft.com/office/drawing/2014/main" id="{00000000-0008-0000-0400-000035000000}"/>
            </a:ext>
          </a:extLst>
        </xdr:cNvPr>
        <xdr:cNvSpPr/>
      </xdr:nvSpPr>
      <xdr:spPr>
        <a:xfrm>
          <a:off x="2984500" y="23695025"/>
          <a:ext cx="5194300" cy="26574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Update firmware through FOE by clicking boot strap mode and download option in the TwinCAT.	                                                                                                                              </a:t>
          </a:r>
        </a:p>
        <a:p>
          <a:pPr eaLnBrk="1" fontAlgn="auto" latinLnBrk="0" hangingPunct="1"/>
          <a:r>
            <a:rPr lang="en-US" sz="1100" b="0" i="0" baseline="0">
              <a:effectLst/>
              <a:latin typeface="+mn-lt"/>
              <a:ea typeface="+mn-ea"/>
              <a:cs typeface="+mn-cs"/>
            </a:rPr>
            <a:t>7.  Once firmware update is successfull change mode into INIT. After that click OP mode. </a:t>
          </a:r>
        </a:p>
        <a:p>
          <a:pPr eaLnBrk="1" fontAlgn="auto" latinLnBrk="0" hangingPunct="1"/>
          <a:r>
            <a:rPr lang="en-US" sz="1100" b="0" i="0" baseline="0">
              <a:effectLst/>
              <a:latin typeface="+mn-lt"/>
              <a:ea typeface="+mn-ea"/>
              <a:cs typeface="+mn-cs"/>
            </a:rPr>
            <a:t>8. Check the actual status and should be OP mode. Also check the current status	 </a:t>
          </a:r>
        </a:p>
        <a:p>
          <a:pPr eaLnBrk="1" fontAlgn="auto" latinLnBrk="0" hangingPunct="1"/>
          <a:r>
            <a:rPr lang="en-US" sz="1100" b="0" i="0" baseline="0">
              <a:effectLst/>
              <a:latin typeface="+mn-lt"/>
              <a:ea typeface="+mn-ea"/>
              <a:cs typeface="+mn-cs"/>
            </a:rPr>
            <a:t>9. Enable the Promiscous mode and Activate the configuration</a:t>
          </a:r>
        </a:p>
        <a:p>
          <a:pPr eaLnBrk="1" fontAlgn="auto" latinLnBrk="0" hangingPunct="1"/>
          <a:r>
            <a:rPr lang="en-US" sz="1100" b="0" i="0" baseline="0">
              <a:effectLst/>
              <a:latin typeface="+mn-lt"/>
              <a:ea typeface="+mn-ea"/>
              <a:cs typeface="+mn-cs"/>
            </a:rPr>
            <a:t>10. Use same ESI file in Device configurations of Confirmance test tool (CTT tool)</a:t>
          </a:r>
        </a:p>
        <a:p>
          <a:pPr eaLnBrk="1" fontAlgn="auto" latinLnBrk="0" hangingPunct="1"/>
          <a:r>
            <a:rPr lang="en-US" sz="1100" b="0" i="0" baseline="0">
              <a:effectLst/>
              <a:latin typeface="+mn-lt"/>
              <a:ea typeface="+mn-ea"/>
              <a:cs typeface="+mn-cs"/>
            </a:rPr>
            <a:t>11.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10</xdr:row>
      <xdr:rowOff>0</xdr:rowOff>
    </xdr:from>
    <xdr:to>
      <xdr:col>3</xdr:col>
      <xdr:colOff>0</xdr:colOff>
      <xdr:row>10</xdr:row>
      <xdr:rowOff>19050</xdr:rowOff>
    </xdr:to>
    <xdr:sp macro="" textlink="">
      <xdr:nvSpPr>
        <xdr:cNvPr id="54" name="Rectangle 53">
          <a:extLst>
            <a:ext uri="{FF2B5EF4-FFF2-40B4-BE49-F238E27FC236}">
              <a16:creationId xmlns:a16="http://schemas.microsoft.com/office/drawing/2014/main" id="{00000000-0008-0000-0400-000036000000}"/>
            </a:ext>
          </a:extLst>
        </xdr:cNvPr>
        <xdr:cNvSpPr/>
      </xdr:nvSpPr>
      <xdr:spPr>
        <a:xfrm>
          <a:off x="2984500" y="236855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10</xdr:row>
      <xdr:rowOff>9525</xdr:rowOff>
    </xdr:from>
    <xdr:to>
      <xdr:col>3</xdr:col>
      <xdr:colOff>0</xdr:colOff>
      <xdr:row>11</xdr:row>
      <xdr:rowOff>0</xdr:rowOff>
    </xdr:to>
    <xdr:sp macro="" textlink="">
      <xdr:nvSpPr>
        <xdr:cNvPr id="55" name="Rectangle 54">
          <a:extLst>
            <a:ext uri="{FF2B5EF4-FFF2-40B4-BE49-F238E27FC236}">
              <a16:creationId xmlns:a16="http://schemas.microsoft.com/office/drawing/2014/main" id="{00000000-0008-0000-0400-000037000000}"/>
            </a:ext>
          </a:extLst>
        </xdr:cNvPr>
        <xdr:cNvSpPr/>
      </xdr:nvSpPr>
      <xdr:spPr>
        <a:xfrm>
          <a:off x="2984500" y="23695025"/>
          <a:ext cx="5194300" cy="26574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Update firmware through FOE by clicking boot strap mode and download option in the TwinCAT.	                                                                                                                              </a:t>
          </a:r>
        </a:p>
        <a:p>
          <a:pPr eaLnBrk="1" fontAlgn="auto" latinLnBrk="0" hangingPunct="1"/>
          <a:r>
            <a:rPr lang="en-US" sz="1100" b="0" i="0" baseline="0">
              <a:effectLst/>
              <a:latin typeface="+mn-lt"/>
              <a:ea typeface="+mn-ea"/>
              <a:cs typeface="+mn-cs"/>
            </a:rPr>
            <a:t>7.  Once firmware update is successfull change mode into INIT. After that click OP mode. </a:t>
          </a:r>
        </a:p>
        <a:p>
          <a:pPr eaLnBrk="1" fontAlgn="auto" latinLnBrk="0" hangingPunct="1"/>
          <a:r>
            <a:rPr lang="en-US" sz="1100" b="0" i="0" baseline="0">
              <a:effectLst/>
              <a:latin typeface="+mn-lt"/>
              <a:ea typeface="+mn-ea"/>
              <a:cs typeface="+mn-cs"/>
            </a:rPr>
            <a:t>8. Check the actual status and should be OP mode. Also check the current status	 </a:t>
          </a:r>
        </a:p>
        <a:p>
          <a:pPr eaLnBrk="1" fontAlgn="auto" latinLnBrk="0" hangingPunct="1"/>
          <a:r>
            <a:rPr lang="en-US" sz="1100" b="0" i="0" baseline="0">
              <a:effectLst/>
              <a:latin typeface="+mn-lt"/>
              <a:ea typeface="+mn-ea"/>
              <a:cs typeface="+mn-cs"/>
            </a:rPr>
            <a:t>9. Enable the Promiscous mode and Activate the configuration</a:t>
          </a:r>
        </a:p>
        <a:p>
          <a:pPr eaLnBrk="1" fontAlgn="auto" latinLnBrk="0" hangingPunct="1"/>
          <a:r>
            <a:rPr lang="en-US" sz="1100" b="0" i="0" baseline="0">
              <a:effectLst/>
              <a:latin typeface="+mn-lt"/>
              <a:ea typeface="+mn-ea"/>
              <a:cs typeface="+mn-cs"/>
            </a:rPr>
            <a:t>10. Use same ESI file in Device configurations of Confirmance test tool (CTT tool)</a:t>
          </a:r>
        </a:p>
        <a:p>
          <a:pPr eaLnBrk="1" fontAlgn="auto" latinLnBrk="0" hangingPunct="1"/>
          <a:r>
            <a:rPr lang="en-US" sz="1100" b="0" i="0" baseline="0">
              <a:effectLst/>
              <a:latin typeface="+mn-lt"/>
              <a:ea typeface="+mn-ea"/>
              <a:cs typeface="+mn-cs"/>
            </a:rPr>
            <a:t>11.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10</xdr:row>
      <xdr:rowOff>0</xdr:rowOff>
    </xdr:from>
    <xdr:to>
      <xdr:col>3</xdr:col>
      <xdr:colOff>0</xdr:colOff>
      <xdr:row>10</xdr:row>
      <xdr:rowOff>19050</xdr:rowOff>
    </xdr:to>
    <xdr:sp macro="" textlink="">
      <xdr:nvSpPr>
        <xdr:cNvPr id="56" name="Rectangle 55">
          <a:extLst>
            <a:ext uri="{FF2B5EF4-FFF2-40B4-BE49-F238E27FC236}">
              <a16:creationId xmlns:a16="http://schemas.microsoft.com/office/drawing/2014/main" id="{00000000-0008-0000-0400-000038000000}"/>
            </a:ext>
          </a:extLst>
        </xdr:cNvPr>
        <xdr:cNvSpPr/>
      </xdr:nvSpPr>
      <xdr:spPr>
        <a:xfrm>
          <a:off x="2984500" y="236855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10</xdr:row>
      <xdr:rowOff>9525</xdr:rowOff>
    </xdr:from>
    <xdr:to>
      <xdr:col>3</xdr:col>
      <xdr:colOff>0</xdr:colOff>
      <xdr:row>11</xdr:row>
      <xdr:rowOff>0</xdr:rowOff>
    </xdr:to>
    <xdr:sp macro="" textlink="">
      <xdr:nvSpPr>
        <xdr:cNvPr id="57" name="Rectangle 56">
          <a:extLst>
            <a:ext uri="{FF2B5EF4-FFF2-40B4-BE49-F238E27FC236}">
              <a16:creationId xmlns:a16="http://schemas.microsoft.com/office/drawing/2014/main" id="{00000000-0008-0000-0400-000039000000}"/>
            </a:ext>
          </a:extLst>
        </xdr:cNvPr>
        <xdr:cNvSpPr/>
      </xdr:nvSpPr>
      <xdr:spPr>
        <a:xfrm>
          <a:off x="2984500" y="23695025"/>
          <a:ext cx="5194300" cy="26574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PDI write </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Update firmware through FOE by clicking boot strap mode and download option in the TwinCAT.	                                                                                                                              </a:t>
          </a:r>
        </a:p>
        <a:p>
          <a:pPr eaLnBrk="1" fontAlgn="auto" latinLnBrk="0" hangingPunct="1"/>
          <a:r>
            <a:rPr lang="en-US" sz="1100" b="0" i="0" baseline="0">
              <a:effectLst/>
              <a:latin typeface="+mn-lt"/>
              <a:ea typeface="+mn-ea"/>
              <a:cs typeface="+mn-cs"/>
            </a:rPr>
            <a:t>7.  Once firmware update is successfull change mode into INIT. After that click OP mode. </a:t>
          </a:r>
        </a:p>
        <a:p>
          <a:pPr eaLnBrk="1" fontAlgn="auto" latinLnBrk="0" hangingPunct="1"/>
          <a:r>
            <a:rPr lang="en-US" sz="1100" b="0" i="0" baseline="0">
              <a:effectLst/>
              <a:latin typeface="+mn-lt"/>
              <a:ea typeface="+mn-ea"/>
              <a:cs typeface="+mn-cs"/>
            </a:rPr>
            <a:t>8. Check the actual status and should be OP mode. Also check the current status	 </a:t>
          </a:r>
        </a:p>
        <a:p>
          <a:pPr eaLnBrk="1" fontAlgn="auto" latinLnBrk="0" hangingPunct="1"/>
          <a:r>
            <a:rPr lang="en-US" sz="1100" b="0" i="0" baseline="0">
              <a:effectLst/>
              <a:latin typeface="+mn-lt"/>
              <a:ea typeface="+mn-ea"/>
              <a:cs typeface="+mn-cs"/>
            </a:rPr>
            <a:t>9. Enable the Promiscous mode and Activate the configuration</a:t>
          </a:r>
        </a:p>
        <a:p>
          <a:pPr eaLnBrk="1" fontAlgn="auto" latinLnBrk="0" hangingPunct="1"/>
          <a:r>
            <a:rPr lang="en-US" sz="1100" b="0" i="0" baseline="0">
              <a:effectLst/>
              <a:latin typeface="+mn-lt"/>
              <a:ea typeface="+mn-ea"/>
              <a:cs typeface="+mn-cs"/>
            </a:rPr>
            <a:t>10. Use same ESI file in Device configurations of Confirmance test tool (CTT tool)</a:t>
          </a:r>
        </a:p>
        <a:p>
          <a:pPr eaLnBrk="1" fontAlgn="auto" latinLnBrk="0" hangingPunct="1"/>
          <a:r>
            <a:rPr lang="en-US" sz="1100" b="0" i="0" baseline="0">
              <a:effectLst/>
              <a:latin typeface="+mn-lt"/>
              <a:ea typeface="+mn-ea"/>
              <a:cs typeface="+mn-cs"/>
            </a:rPr>
            <a:t>11.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xdr:col>
      <xdr:colOff>19050</xdr:colOff>
      <xdr:row>10</xdr:row>
      <xdr:rowOff>0</xdr:rowOff>
    </xdr:from>
    <xdr:to>
      <xdr:col>3</xdr:col>
      <xdr:colOff>0</xdr:colOff>
      <xdr:row>10</xdr:row>
      <xdr:rowOff>19050</xdr:rowOff>
    </xdr:to>
    <xdr:sp macro="" textlink="">
      <xdr:nvSpPr>
        <xdr:cNvPr id="58" name="Rectangle 57">
          <a:extLst>
            <a:ext uri="{FF2B5EF4-FFF2-40B4-BE49-F238E27FC236}">
              <a16:creationId xmlns:a16="http://schemas.microsoft.com/office/drawing/2014/main" id="{00000000-0008-0000-0400-00003A000000}"/>
            </a:ext>
          </a:extLst>
        </xdr:cNvPr>
        <xdr:cNvSpPr/>
      </xdr:nvSpPr>
      <xdr:spPr>
        <a:xfrm>
          <a:off x="2984500" y="23685500"/>
          <a:ext cx="5194300" cy="1905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Description: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"&lt;Description of the test&gt;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The test case verifies that the Switch Fabric drops the packet when the destination port is disabled state&gt;"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Test Setup(TS):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"&lt;Refer the “Test Setup”&gt;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TS #1&gt;"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Procedure: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the steps, if the steps need particular result then refer them from “Expected Results”&gt;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Connect the hub with out any UPD350 on downstream port and verify the ER#2&gt;.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Execute the application with out the device and verify the ER#3&gt;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Note: If the test case does not fit with in the page, add ""Procedure"" by pressing ""Insert Comment"" from this 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Execution: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&lt;Mention any appropriate script file or test to be chosen&gt;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Calibri" panose="020F0502020204030204"/>
              <a:ea typeface="+mn-ea"/>
              <a:cs typeface="+mn-cs"/>
            </a:rPr>
            <a:t>Expected Result (ER):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"&lt;List down expected results use them in procedure if it requires&gt;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&lt;E,g 1. Hub must enumerate under host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         2. Port should charge at higher voltage&gt;"</a:t>
          </a:r>
        </a:p>
      </xdr:txBody>
    </xdr:sp>
    <xdr:clientData/>
  </xdr:twoCellAnchor>
  <xdr:twoCellAnchor>
    <xdr:from>
      <xdr:col>2</xdr:col>
      <xdr:colOff>19050</xdr:colOff>
      <xdr:row>10</xdr:row>
      <xdr:rowOff>9525</xdr:rowOff>
    </xdr:from>
    <xdr:to>
      <xdr:col>3</xdr:col>
      <xdr:colOff>0</xdr:colOff>
      <xdr:row>11</xdr:row>
      <xdr:rowOff>0</xdr:rowOff>
    </xdr:to>
    <xdr:sp macro="" textlink="">
      <xdr:nvSpPr>
        <xdr:cNvPr id="59" name="Rectangle 58">
          <a:extLst>
            <a:ext uri="{FF2B5EF4-FFF2-40B4-BE49-F238E27FC236}">
              <a16:creationId xmlns:a16="http://schemas.microsoft.com/office/drawing/2014/main" id="{00000000-0008-0000-0400-00003B000000}"/>
            </a:ext>
          </a:extLst>
        </xdr:cNvPr>
        <xdr:cNvSpPr/>
      </xdr:nvSpPr>
      <xdr:spPr>
        <a:xfrm>
          <a:off x="2984500" y="23695025"/>
          <a:ext cx="5194300" cy="2657475"/>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eaLnBrk="1" fontAlgn="auto" latinLnBrk="0" hangingPunct="1"/>
          <a:r>
            <a:rPr lang="en-US" sz="1100" b="1" i="0" baseline="0">
              <a:effectLst/>
              <a:latin typeface="+mn-lt"/>
              <a:ea typeface="+mn-ea"/>
              <a:cs typeface="+mn-cs"/>
            </a:rPr>
            <a:t>Description: </a:t>
          </a:r>
          <a:endParaRPr lang="en-US" sz="800">
            <a:effectLst/>
          </a:endParaRPr>
        </a:p>
        <a:p>
          <a:pPr eaLnBrk="1" fontAlgn="auto" latinLnBrk="0" hangingPunct="1"/>
          <a:r>
            <a:rPr lang="en-US" sz="1100" b="0" i="0" baseline="0">
              <a:effectLst/>
              <a:latin typeface="+mn-lt"/>
              <a:ea typeface="+mn-ea"/>
              <a:cs typeface="+mn-cs"/>
            </a:rPr>
            <a:t>The test case verifies that the input and ouput GPIO's are mapped and input gpio value gets properly refelected</a:t>
          </a:r>
          <a:endParaRPr lang="en-US" sz="800">
            <a:effectLst/>
          </a:endParaRPr>
        </a:p>
        <a:p>
          <a:pPr eaLnBrk="1" fontAlgn="auto" latinLnBrk="0" hangingPunct="1"/>
          <a:r>
            <a:rPr lang="en-US" sz="1100" b="1" i="0" baseline="0">
              <a:effectLst/>
              <a:latin typeface="+mn-lt"/>
              <a:ea typeface="+mn-ea"/>
              <a:cs typeface="+mn-cs"/>
            </a:rPr>
            <a:t>Test Setup(TS):</a:t>
          </a:r>
          <a:endParaRPr lang="en-US" sz="800">
            <a:effectLst/>
          </a:endParaRPr>
        </a:p>
        <a:p>
          <a:pPr eaLnBrk="1" fontAlgn="auto" latinLnBrk="0" hangingPunct="1"/>
          <a:r>
            <a:rPr lang="en-US" sz="1100" b="0" i="0" baseline="0">
              <a:effectLst/>
              <a:latin typeface="+mn-lt"/>
              <a:ea typeface="+mn-ea"/>
              <a:cs typeface="+mn-cs"/>
            </a:rPr>
            <a:t>TestSetup #1</a:t>
          </a:r>
          <a:endParaRPr lang="en-US" sz="800">
            <a:effectLst/>
          </a:endParaRPr>
        </a:p>
        <a:p>
          <a:pPr eaLnBrk="1" fontAlgn="auto" latinLnBrk="0" hangingPunct="1"/>
          <a:r>
            <a:rPr lang="en-US" sz="1100" b="1" i="0" baseline="0">
              <a:effectLst/>
              <a:latin typeface="+mn-lt"/>
              <a:ea typeface="+mn-ea"/>
              <a:cs typeface="+mn-cs"/>
            </a:rPr>
            <a:t>Procedure:9</a:t>
          </a:r>
          <a:endParaRPr lang="en-US" sz="800">
            <a:effectLst/>
          </a:endParaRPr>
        </a:p>
        <a:p>
          <a:pPr eaLnBrk="1" fontAlgn="auto" latinLnBrk="0" hangingPunct="1"/>
          <a:r>
            <a:rPr lang="en-US" sz="1100" b="0" i="0" baseline="0">
              <a:effectLst/>
              <a:latin typeface="+mn-lt"/>
              <a:ea typeface="+mn-ea"/>
              <a:cs typeface="+mn-cs"/>
            </a:rPr>
            <a:t>1. Program the latest image to the controller</a:t>
          </a:r>
          <a:endParaRPr lang="en-US" sz="800">
            <a:effectLst/>
          </a:endParaRPr>
        </a:p>
        <a:p>
          <a:pPr eaLnBrk="1" fontAlgn="auto" latinLnBrk="0" hangingPunct="1"/>
          <a:r>
            <a:rPr lang="en-US" sz="1100" b="0" i="0" baseline="0">
              <a:effectLst/>
              <a:latin typeface="+mn-lt"/>
              <a:ea typeface="+mn-ea"/>
              <a:cs typeface="+mn-cs"/>
            </a:rPr>
            <a:t>2. Connect the EVB In-port to the TwinCAT master directly</a:t>
          </a:r>
          <a:endParaRPr lang="en-US" sz="800">
            <a:effectLst/>
          </a:endParaRPr>
        </a:p>
        <a:p>
          <a:pPr eaLnBrk="1" fontAlgn="auto" latinLnBrk="0" hangingPunct="1"/>
          <a:r>
            <a:rPr lang="en-US" sz="1100" b="0" i="0" baseline="0">
              <a:effectLst/>
              <a:latin typeface="+mn-lt"/>
              <a:ea typeface="+mn-ea"/>
              <a:cs typeface="+mn-cs"/>
            </a:rPr>
            <a:t>3. If the byte order register read properly, then write operation is success, as the read first writes a command before read</a:t>
          </a:r>
          <a:endParaRPr lang="en-US" sz="800">
            <a:effectLst/>
          </a:endParaRPr>
        </a:p>
        <a:p>
          <a:pPr eaLnBrk="1" fontAlgn="auto" latinLnBrk="0" hangingPunct="1"/>
          <a:r>
            <a:rPr lang="en-US" sz="1100" b="0" i="0" baseline="0">
              <a:effectLst/>
              <a:latin typeface="+mn-lt"/>
              <a:ea typeface="+mn-ea"/>
              <a:cs typeface="+mn-cs"/>
            </a:rPr>
            <a:t>4. Check for the devices and add device. Once device connected, then check the status under online tab. 		</a:t>
          </a:r>
          <a:endParaRPr lang="en-US" sz="800">
            <a:effectLst/>
          </a:endParaRPr>
        </a:p>
        <a:p>
          <a:pPr eaLnBrk="1" fontAlgn="auto" latinLnBrk="0" hangingPunct="1"/>
          <a:r>
            <a:rPr lang="en-US" sz="1100" b="0" i="0" baseline="0">
              <a:effectLst/>
              <a:latin typeface="+mn-lt"/>
              <a:ea typeface="+mn-ea"/>
              <a:cs typeface="+mn-cs"/>
            </a:rPr>
            <a:t>5. Check the actual status and should be OP mode. Also check the current status</a:t>
          </a:r>
        </a:p>
        <a:p>
          <a:pPr eaLnBrk="1" fontAlgn="auto" latinLnBrk="0" hangingPunct="1"/>
          <a:r>
            <a:rPr lang="en-US" sz="1100" b="0" i="0" baseline="0">
              <a:effectLst/>
              <a:latin typeface="+mn-lt"/>
              <a:ea typeface="+mn-ea"/>
              <a:cs typeface="+mn-cs"/>
            </a:rPr>
            <a:t>6. Update firmware through FOE by clicking boot strap mode and download option in the TwinCAT.	                                                                                                                              </a:t>
          </a:r>
        </a:p>
        <a:p>
          <a:pPr eaLnBrk="1" fontAlgn="auto" latinLnBrk="0" hangingPunct="1"/>
          <a:r>
            <a:rPr lang="en-US" sz="1100" b="0" i="0" baseline="0">
              <a:effectLst/>
              <a:latin typeface="+mn-lt"/>
              <a:ea typeface="+mn-ea"/>
              <a:cs typeface="+mn-cs"/>
            </a:rPr>
            <a:t>7.  Once firmware update is successfull change mode into INIT. After that click OP mode. </a:t>
          </a:r>
        </a:p>
        <a:p>
          <a:pPr eaLnBrk="1" fontAlgn="auto" latinLnBrk="0" hangingPunct="1"/>
          <a:r>
            <a:rPr lang="en-US" sz="1100" b="0" i="0" baseline="0">
              <a:effectLst/>
              <a:latin typeface="+mn-lt"/>
              <a:ea typeface="+mn-ea"/>
              <a:cs typeface="+mn-cs"/>
            </a:rPr>
            <a:t>8. Check the actual status and should be OP mode. Also check the current status	 </a:t>
          </a:r>
        </a:p>
        <a:p>
          <a:pPr eaLnBrk="1" fontAlgn="auto" latinLnBrk="0" hangingPunct="1"/>
          <a:r>
            <a:rPr lang="en-US" sz="1100" b="0" i="0" baseline="0">
              <a:effectLst/>
              <a:latin typeface="+mn-lt"/>
              <a:ea typeface="+mn-ea"/>
              <a:cs typeface="+mn-cs"/>
            </a:rPr>
            <a:t>9. Enable the Promiscous mode and Activate the configuration</a:t>
          </a:r>
        </a:p>
        <a:p>
          <a:pPr eaLnBrk="1" fontAlgn="auto" latinLnBrk="0" hangingPunct="1"/>
          <a:r>
            <a:rPr lang="en-US" sz="1100" b="0" i="0" baseline="0">
              <a:effectLst/>
              <a:latin typeface="+mn-lt"/>
              <a:ea typeface="+mn-ea"/>
              <a:cs typeface="+mn-cs"/>
            </a:rPr>
            <a:t>10. Use same ESI file in Device configurations of Confirmance test tool (CTT tool)</a:t>
          </a:r>
        </a:p>
        <a:p>
          <a:pPr eaLnBrk="1" fontAlgn="auto" latinLnBrk="0" hangingPunct="1"/>
          <a:r>
            <a:rPr lang="en-US" sz="1100" b="0" i="0" baseline="0">
              <a:effectLst/>
              <a:latin typeface="+mn-lt"/>
              <a:ea typeface="+mn-ea"/>
              <a:cs typeface="+mn-cs"/>
            </a:rPr>
            <a:t>11. Scan and add device from CTT toll and start test. </a:t>
          </a:r>
          <a:endParaRPr lang="en-US" sz="800">
            <a:effectLst/>
          </a:endParaRPr>
        </a:p>
        <a:p>
          <a:pPr eaLnBrk="1" fontAlgn="auto" latinLnBrk="0" hangingPunct="1"/>
          <a:r>
            <a:rPr lang="en-US" sz="1100" b="1" i="0" baseline="0">
              <a:effectLst/>
              <a:latin typeface="+mn-lt"/>
              <a:ea typeface="+mn-ea"/>
              <a:cs typeface="+mn-cs"/>
            </a:rPr>
            <a:t>Execution:</a:t>
          </a:r>
          <a:endParaRPr lang="en-US" sz="800">
            <a:effectLst/>
          </a:endParaRPr>
        </a:p>
        <a:p>
          <a:pPr eaLnBrk="1" fontAlgn="auto" latinLnBrk="0" hangingPunct="1"/>
          <a:r>
            <a:rPr lang="en-US" sz="1100" b="0" i="0" baseline="0">
              <a:effectLst/>
              <a:latin typeface="+mn-lt"/>
              <a:ea typeface="+mn-ea"/>
              <a:cs typeface="+mn-cs"/>
            </a:rPr>
            <a:t>Debug the program through MpLab X IDE</a:t>
          </a:r>
          <a:endParaRPr lang="en-US" sz="800">
            <a:effectLst/>
          </a:endParaRPr>
        </a:p>
        <a:p>
          <a:pPr eaLnBrk="1" fontAlgn="auto" latinLnBrk="0" hangingPunct="1"/>
          <a:r>
            <a:rPr lang="en-US" sz="1100" b="1" i="0" baseline="0">
              <a:effectLst/>
              <a:latin typeface="+mn-lt"/>
              <a:ea typeface="+mn-ea"/>
              <a:cs typeface="+mn-cs"/>
            </a:rPr>
            <a:t>Expected Result (ER):</a:t>
          </a:r>
          <a:endParaRPr lang="en-US" sz="800">
            <a:effectLst/>
          </a:endParaRPr>
        </a:p>
        <a:p>
          <a:pPr eaLnBrk="1" fontAlgn="auto" latinLnBrk="0" hangingPunct="1"/>
          <a:r>
            <a:rPr lang="en-US" sz="1100" b="0" i="0" baseline="0">
              <a:effectLst/>
              <a:latin typeface="+mn-lt"/>
              <a:ea typeface="+mn-ea"/>
              <a:cs typeface="+mn-cs"/>
            </a:rPr>
            <a:t>1. Should read Byte order register as "0x87654321"</a:t>
          </a:r>
          <a:endParaRPr lang="en-US" sz="800">
            <a:effectLst/>
          </a:endParaRPr>
        </a:p>
        <a:p>
          <a:pPr eaLnBrk="1" fontAlgn="auto" latinLnBrk="0" hangingPunct="1"/>
          <a:r>
            <a:rPr lang="en-US" sz="1100" b="0" i="0" baseline="0">
              <a:effectLst/>
              <a:latin typeface="+mn-lt"/>
              <a:ea typeface="+mn-ea"/>
              <a:cs typeface="+mn-cs"/>
            </a:rPr>
            <a:t>2. The current status should be "OP" mode</a:t>
          </a:r>
        </a:p>
        <a:p>
          <a:pPr eaLnBrk="1" fontAlgn="auto" latinLnBrk="0" hangingPunct="1"/>
          <a:r>
            <a:rPr lang="en-US" sz="1100" b="0" i="0" baseline="0">
              <a:effectLst/>
              <a:latin typeface="+mn-lt"/>
              <a:ea typeface="+mn-ea"/>
              <a:cs typeface="+mn-cs"/>
            </a:rPr>
            <a:t>3. CTT all test cases should pass.</a:t>
          </a:r>
          <a:endParaRPr lang="en-US" sz="8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9525</xdr:rowOff>
    </xdr:from>
    <xdr:to>
      <xdr:col>1</xdr:col>
      <xdr:colOff>0</xdr:colOff>
      <xdr:row>1</xdr:row>
      <xdr:rowOff>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19050" y="9525"/>
          <a:ext cx="7334250" cy="3924300"/>
        </a:xfrm>
        <a:prstGeom prst="rect">
          <a:avLst/>
        </a:prstGeom>
        <a:solidFill>
          <a:sysClr val="window" lastClr="FFFFFF"/>
        </a:solidFill>
        <a:ln w="12700" cap="flat" cmpd="sng" algn="ctr">
          <a:solidFill>
            <a:sysClr val="windowText" lastClr="000000"/>
          </a:solidFill>
          <a:prstDash val="solid"/>
          <a:miter lim="800000"/>
        </a:ln>
        <a:effectLst/>
      </xdr:spPr>
      <xdr:txBody>
        <a:bodyPr vertOverflow="clip" horzOverflow="clip" rtlCol="0" anchor="t"/>
        <a:lstStyle/>
        <a:p>
          <a:pPr marL="1371600" marR="0" lvl="3" indent="0" algn="l"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rgbClr val="FF0000"/>
              </a:solidFill>
              <a:effectLst/>
              <a:uLnTx/>
              <a:uFillTx/>
              <a:latin typeface="+mn-lt"/>
              <a:ea typeface="+mn-ea"/>
              <a:cs typeface="+mn-cs"/>
            </a:rPr>
            <a:t>USER GUIDE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rgbClr val="FF0000"/>
              </a:solidFill>
              <a:effectLst/>
              <a:uLnTx/>
              <a:uFillTx/>
              <a:latin typeface="+mn-lt"/>
              <a:ea typeface="+mn-ea"/>
              <a:cs typeface="+mn-cs"/>
            </a:rPr>
            <a:t>Prerequisite: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mn-lt"/>
              <a:ea typeface="+mn-ea"/>
              <a:cs typeface="+mn-cs"/>
            </a:rPr>
            <a:t>* MFTPMasterKey.xlsx shall be present in same directory of this excel document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Text" lastClr="000000"/>
              </a:solidFill>
              <a:effectLst/>
              <a:uLnTx/>
              <a:uFillTx/>
              <a:latin typeface="+mn-lt"/>
              <a:ea typeface="+mn-ea"/>
              <a:cs typeface="+mn-cs"/>
            </a:rPr>
            <a:t>* MFTPMasterKey.xlsx shall have relevant data in all fields w.r.to product &amp; modules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1"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rgbClr val="FF0000"/>
              </a:solidFill>
              <a:effectLst/>
              <a:uLnTx/>
              <a:uFillTx/>
              <a:latin typeface="+mn-lt"/>
              <a:ea typeface="+mn-ea"/>
              <a:cs typeface="+mn-cs"/>
            </a:rPr>
            <a:t>Guidelines: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Allow some time (5 to 15 secs) to load MFTPMasterKey.xlsx while opening this document. Status of loading will be shown in bottom right corner of the document.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Make sure that prerequisite steps are completed before start filling the test cases.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This document serves as "Module Test Plan" and "Module Test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rgbClr val="0070C0"/>
              </a:solidFill>
              <a:effectLst/>
              <a:uLnTx/>
              <a:uFillTx/>
              <a:latin typeface="+mn-lt"/>
              <a:ea typeface="+mn-ea"/>
              <a:cs typeface="+mn-cs"/>
            </a:rPr>
            <a:t>Test plan:</a:t>
          </a:r>
        </a:p>
        <a:p>
          <a:pPr marL="457200" marR="0" lvl="1"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When you check in this document as "Test Plan", Product oriented items must be filled as "NA". For example, "Product Family" must be selected as "Not Applicable" in "Test Summary Sheet" and "Tested Platform" and "Tested SKUs" must be "Not Applicable" and "Status" not required to fill. </a:t>
          </a:r>
        </a:p>
        <a:p>
          <a:pPr marL="457200" marR="0" lvl="1"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Test plan document must be checked in common depot as it is common for all products. Single directory will have one "MFTPMasterKey.xlsx" document and  multiple "Modular Test Plan" documents.</a:t>
          </a:r>
        </a:p>
        <a:p>
          <a:pPr marL="457200" marR="0" lvl="1"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Don't mention any absolute address in Test Steps instead mention "Register Name" and "Bit Name". It is accepted that everyone will have to refer Module &amp; Product DOS to know the register address. Test application must be able to port easily to next generation of products. For example, just by changing base address in input file of test application.  </a:t>
          </a:r>
        </a:p>
        <a:p>
          <a:pPr marL="457200" marR="0" lvl="1"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If anything related to particular product use cases then move the test cases to "Product Test Plan"</a:t>
          </a:r>
        </a:p>
        <a:p>
          <a:pPr marL="457200" marR="0" lvl="1"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"Test category" column of "Test Cases" must be able to see in page with out scrolling up and down. Adjust font size if required.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rgbClr val="0070C0"/>
              </a:solidFill>
              <a:effectLst/>
              <a:uLnTx/>
              <a:uFillTx/>
              <a:latin typeface="+mn-lt"/>
              <a:ea typeface="+mn-ea"/>
              <a:cs typeface="+mn-cs"/>
            </a:rPr>
            <a:t>Test Report:</a:t>
          </a:r>
        </a:p>
        <a:p>
          <a:pPr marL="457200" marR="0" lvl="1"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When you check in this document as "Test Report" in relevant firmware release path, all items must be filled with respect to the product.</a:t>
          </a:r>
        </a:p>
        <a:p>
          <a:pPr marL="457200" marR="0" lvl="1"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mn-lt"/>
              <a:ea typeface="+mn-ea"/>
              <a:cs typeface="+mn-cs"/>
            </a:rPr>
            <a:t>* "Test Reports" directory of path will have multiple "Module Test Reports" and one "MFTPMasterKey.xlsx" (All are copy of documents from Test plan directory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heet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intermediate="1" connectionId="47" xr16:uid="{F39EDB2A-437C-47B1-B787-75E1ED0A084E}" autoFormatId="16" applyNumberFormats="0" applyBorderFormats="0" applyFontFormats="1" applyPatternFormats="1" applyAlignmentFormats="0" applyWidthHeightFormats="0">
  <queryTableRefresh nextId="2">
    <queryTableFields count="1">
      <queryTableField id="1" name="ExternalData_1: Getting Data ..."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B65E014A-0391-4DBA-8D03-9B1516531093}" name="Table27" displayName="Table27" ref="A2:A4" totalsRowShown="0">
  <autoFilter ref="A2:A4" xr:uid="{FDA6349D-F107-47B4-86B3-7B5E2CD7C10D}"/>
  <tableColumns count="1">
    <tableColumn id="1" xr3:uid="{7D6F6B14-FEF6-4EF1-9107-4746F54B10DA}" name="Column1">
      <calculatedColumnFormula>LEFT(CELL("filename"),FIND("[",CELL("filename"))-1)&amp;"MFTPMasterKey.xlsx"</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E6680F-E9FF-49AF-81B7-2890E57A3F49}" name="MasterKeysTable" displayName="MasterKeysTable" ref="A1:A2" tableType="queryTable" insertRow="1" totalsRowShown="0">
  <autoFilter ref="A1:A2" xr:uid="{2D1BB48D-ACD2-41F8-B19A-339C5B581336}"/>
  <tableColumns count="1">
    <tableColumn id="1" xr3:uid="{B2FE75E3-8F23-4B6F-B793-D2B5250DE2E9}" uniqueName="1" name="ExternalData_1: Getting Data ..."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ECA22-A53F-42CF-9B71-F17A2B547790}">
  <sheetPr codeName="Sheet6"/>
  <dimension ref="A2:D11"/>
  <sheetViews>
    <sheetView tabSelected="1" zoomScaleNormal="100" workbookViewId="0">
      <selection activeCell="E6" sqref="E6"/>
    </sheetView>
  </sheetViews>
  <sheetFormatPr defaultRowHeight="18.5" x14ac:dyDescent="0.65"/>
  <cols>
    <col min="2" max="2" width="15" customWidth="1"/>
    <col min="3" max="3" width="15.7265625" customWidth="1"/>
    <col min="4" max="4" width="57.54296875" customWidth="1"/>
  </cols>
  <sheetData>
    <row r="2" spans="1:4" ht="18.75" customHeight="1" thickBot="1" x14ac:dyDescent="0.7"/>
    <row r="3" spans="1:4" ht="15.75" customHeight="1" thickTop="1" x14ac:dyDescent="0.65">
      <c r="A3" s="65" t="s">
        <v>15</v>
      </c>
      <c r="B3" s="66"/>
      <c r="C3" s="66"/>
      <c r="D3" s="67"/>
    </row>
    <row r="4" spans="1:4" ht="44.25" customHeight="1" x14ac:dyDescent="0.65">
      <c r="A4" s="68"/>
      <c r="B4" s="69"/>
      <c r="C4" s="69"/>
      <c r="D4" s="70"/>
    </row>
    <row r="5" spans="1:4" ht="33" customHeight="1" x14ac:dyDescent="0.65">
      <c r="A5" s="68"/>
      <c r="B5" s="69"/>
      <c r="C5" s="69"/>
      <c r="D5" s="70"/>
    </row>
    <row r="6" spans="1:4" ht="21.75" customHeight="1" x14ac:dyDescent="0.65">
      <c r="A6" s="68"/>
      <c r="B6" s="69"/>
      <c r="C6" s="69"/>
      <c r="D6" s="70"/>
    </row>
    <row r="7" spans="1:4" ht="18" customHeight="1" x14ac:dyDescent="0.65">
      <c r="A7" s="68"/>
      <c r="B7" s="69"/>
      <c r="C7" s="69"/>
      <c r="D7" s="70"/>
    </row>
    <row r="8" spans="1:4" ht="19" thickBot="1" x14ac:dyDescent="0.7">
      <c r="A8" s="71"/>
      <c r="B8" s="72"/>
      <c r="C8" s="72"/>
      <c r="D8" s="73"/>
    </row>
    <row r="9" spans="1:4" ht="19.5" thickTop="1" thickBot="1" x14ac:dyDescent="0.7">
      <c r="A9" s="4" t="s">
        <v>16</v>
      </c>
      <c r="B9" s="5" t="s">
        <v>17</v>
      </c>
      <c r="C9" s="6" t="s">
        <v>18</v>
      </c>
      <c r="D9" s="4" t="s">
        <v>19</v>
      </c>
    </row>
    <row r="10" spans="1:4" ht="19.5" thickTop="1" thickBot="1" x14ac:dyDescent="0.7">
      <c r="A10" s="7">
        <v>0.1</v>
      </c>
      <c r="B10" s="8">
        <v>44166</v>
      </c>
      <c r="C10" s="9" t="s">
        <v>66</v>
      </c>
      <c r="D10" s="9" t="s">
        <v>57</v>
      </c>
    </row>
    <row r="11" spans="1:4" ht="19" thickBot="1" x14ac:dyDescent="0.7">
      <c r="A11" s="7"/>
      <c r="B11" s="8"/>
      <c r="C11" s="9"/>
      <c r="D11" s="11"/>
    </row>
  </sheetData>
  <mergeCells count="1">
    <mergeCell ref="A3:D8"/>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6146" r:id="rId4">
          <objectPr defaultSize="0" r:id="rId5">
            <anchor moveWithCells="1">
              <from>
                <xdr:col>3</xdr:col>
                <xdr:colOff>762000</xdr:colOff>
                <xdr:row>3</xdr:row>
                <xdr:rowOff>0</xdr:rowOff>
              </from>
              <to>
                <xdr:col>3</xdr:col>
                <xdr:colOff>2908300</xdr:colOff>
                <xdr:row>5</xdr:row>
                <xdr:rowOff>260350</xdr:rowOff>
              </to>
            </anchor>
          </objectPr>
        </oleObject>
      </mc:Choice>
      <mc:Fallback>
        <oleObject progId="Word.Document.12" shapeId="6146" r:id="rId4"/>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FF080-5F4C-47AF-A1CA-076AE06DE4B0}">
  <sheetPr codeName="Sheet7"/>
  <dimension ref="A2:D21"/>
  <sheetViews>
    <sheetView zoomScaleNormal="100" workbookViewId="0">
      <selection activeCell="H7" sqref="H7"/>
    </sheetView>
  </sheetViews>
  <sheetFormatPr defaultRowHeight="18.5" x14ac:dyDescent="0.65"/>
  <cols>
    <col min="1" max="1" width="39.26953125" customWidth="1"/>
    <col min="2" max="2" width="26.81640625" customWidth="1"/>
    <col min="3" max="3" width="18" customWidth="1"/>
    <col min="4" max="4" width="18.81640625" customWidth="1"/>
  </cols>
  <sheetData>
    <row r="2" spans="1:4" x14ac:dyDescent="0.65">
      <c r="A2" t="s">
        <v>58</v>
      </c>
    </row>
    <row r="4" spans="1:4" ht="30.75" customHeight="1" x14ac:dyDescent="0.7">
      <c r="A4" s="53" t="s">
        <v>32</v>
      </c>
      <c r="B4" s="50" t="s">
        <v>33</v>
      </c>
      <c r="C4" s="75" t="s">
        <v>3</v>
      </c>
      <c r="D4" s="76"/>
    </row>
    <row r="5" spans="1:4" ht="19.5" x14ac:dyDescent="0.7">
      <c r="A5" s="46" t="s">
        <v>41</v>
      </c>
      <c r="B5" s="47" t="s">
        <v>67</v>
      </c>
      <c r="C5" s="74"/>
      <c r="D5" s="74"/>
    </row>
    <row r="6" spans="1:4" ht="19.5" x14ac:dyDescent="0.7">
      <c r="A6" s="46" t="s">
        <v>42</v>
      </c>
      <c r="B6" s="47" t="s">
        <v>87</v>
      </c>
      <c r="C6" s="74"/>
      <c r="D6" s="74"/>
    </row>
    <row r="7" spans="1:4" ht="33" customHeight="1" x14ac:dyDescent="0.7">
      <c r="A7" s="46" t="s">
        <v>43</v>
      </c>
      <c r="B7" s="47" t="s">
        <v>68</v>
      </c>
      <c r="C7" s="74"/>
      <c r="D7" s="74"/>
    </row>
    <row r="8" spans="1:4" ht="19.5" x14ac:dyDescent="0.7">
      <c r="A8" s="48" t="s">
        <v>34</v>
      </c>
      <c r="B8" s="49"/>
      <c r="C8" s="74"/>
      <c r="D8" s="74"/>
    </row>
    <row r="9" spans="1:4" ht="25.5" customHeight="1" x14ac:dyDescent="0.7">
      <c r="A9" s="48" t="s">
        <v>56</v>
      </c>
      <c r="B9" s="49" t="s">
        <v>69</v>
      </c>
      <c r="C9" s="74"/>
      <c r="D9" s="74"/>
    </row>
    <row r="10" spans="1:4" ht="19.5" x14ac:dyDescent="0.7">
      <c r="A10" s="48" t="s">
        <v>55</v>
      </c>
      <c r="B10" s="58"/>
      <c r="C10" s="74"/>
      <c r="D10" s="74"/>
    </row>
    <row r="11" spans="1:4" ht="19.5" x14ac:dyDescent="0.7">
      <c r="A11" s="48" t="s">
        <v>38</v>
      </c>
      <c r="B11" s="49"/>
      <c r="C11" s="74"/>
      <c r="D11" s="74"/>
    </row>
    <row r="12" spans="1:4" ht="19.5" x14ac:dyDescent="0.7">
      <c r="A12" s="48" t="s">
        <v>50</v>
      </c>
      <c r="B12" s="49">
        <f>COUNTIF('Test Cases'!D2:D469,"*")</f>
        <v>5</v>
      </c>
      <c r="C12" s="74"/>
      <c r="D12" s="74"/>
    </row>
    <row r="13" spans="1:4" ht="19.5" x14ac:dyDescent="0.7">
      <c r="A13" s="48" t="s">
        <v>35</v>
      </c>
      <c r="B13" s="49">
        <f>B12-B16</f>
        <v>5</v>
      </c>
      <c r="C13" s="74"/>
      <c r="D13" s="74"/>
    </row>
    <row r="14" spans="1:4" ht="19.5" x14ac:dyDescent="0.7">
      <c r="A14" s="48" t="s">
        <v>36</v>
      </c>
      <c r="B14" s="49">
        <f>COUNTIF('Test Cases'!H2:H469,"PASS")</f>
        <v>12</v>
      </c>
      <c r="C14" s="74"/>
      <c r="D14" s="74"/>
    </row>
    <row r="15" spans="1:4" ht="19.5" x14ac:dyDescent="0.7">
      <c r="A15" s="48" t="s">
        <v>37</v>
      </c>
      <c r="B15" s="49">
        <f>COUNTIF('Test Cases'!H2:H469,"FAIL")</f>
        <v>0</v>
      </c>
      <c r="C15" s="74"/>
      <c r="D15" s="74"/>
    </row>
    <row r="16" spans="1:4" ht="19.5" x14ac:dyDescent="0.7">
      <c r="A16" s="48" t="s">
        <v>49</v>
      </c>
      <c r="B16" s="49">
        <f>COUNTIF('Test Cases'!H2:H469,"NA")</f>
        <v>0</v>
      </c>
      <c r="C16" s="74"/>
      <c r="D16" s="74"/>
    </row>
    <row r="17" spans="1:4" ht="19.5" x14ac:dyDescent="0.7">
      <c r="A17" s="48" t="s">
        <v>52</v>
      </c>
      <c r="B17" s="59">
        <v>0.99</v>
      </c>
      <c r="C17" s="74"/>
      <c r="D17" s="74"/>
    </row>
    <row r="18" spans="1:4" ht="19.5" x14ac:dyDescent="0.7">
      <c r="A18" s="48" t="s">
        <v>53</v>
      </c>
      <c r="B18" s="59">
        <f>B15/B13</f>
        <v>0</v>
      </c>
      <c r="C18" s="74"/>
      <c r="D18" s="74"/>
    </row>
    <row r="19" spans="1:4" ht="19.5" x14ac:dyDescent="0.7">
      <c r="A19" s="48" t="s">
        <v>54</v>
      </c>
      <c r="B19" s="59">
        <v>0.01</v>
      </c>
      <c r="C19" s="77"/>
      <c r="D19" s="78"/>
    </row>
    <row r="20" spans="1:4" ht="18.75" customHeight="1" x14ac:dyDescent="0.65">
      <c r="A20" s="79" t="s">
        <v>28</v>
      </c>
      <c r="B20" s="80"/>
      <c r="C20" s="45" t="s">
        <v>29</v>
      </c>
      <c r="D20" s="44" t="s">
        <v>30</v>
      </c>
    </row>
    <row r="21" spans="1:4" x14ac:dyDescent="0.65">
      <c r="A21" s="81" t="s">
        <v>31</v>
      </c>
      <c r="B21" s="82"/>
      <c r="C21" s="45"/>
      <c r="D21" s="44">
        <v>0.2</v>
      </c>
    </row>
  </sheetData>
  <mergeCells count="18">
    <mergeCell ref="C17:D17"/>
    <mergeCell ref="C18:D18"/>
    <mergeCell ref="C19:D19"/>
    <mergeCell ref="A20:B20"/>
    <mergeCell ref="A21:B21"/>
    <mergeCell ref="C4:D4"/>
    <mergeCell ref="C5:D5"/>
    <mergeCell ref="C6:D6"/>
    <mergeCell ref="C7:D7"/>
    <mergeCell ref="C8:D8"/>
    <mergeCell ref="C14:D14"/>
    <mergeCell ref="C15:D15"/>
    <mergeCell ref="C16:D16"/>
    <mergeCell ref="C9:D9"/>
    <mergeCell ref="C10:D10"/>
    <mergeCell ref="C11:D11"/>
    <mergeCell ref="C12:D12"/>
    <mergeCell ref="C13:D13"/>
  </mergeCells>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F4336-0970-454C-8BA5-73D9361E7A35}">
  <sheetPr codeName="Sheet4"/>
  <dimension ref="A1:X41"/>
  <sheetViews>
    <sheetView topLeftCell="A18" workbookViewId="0">
      <selection activeCell="A18" sqref="A18"/>
    </sheetView>
  </sheetViews>
  <sheetFormatPr defaultRowHeight="18.5" x14ac:dyDescent="0.65"/>
  <cols>
    <col min="1" max="1" width="25.81640625" customWidth="1"/>
    <col min="2" max="2" width="68.81640625" customWidth="1"/>
    <col min="4" max="4" width="47.54296875" customWidth="1"/>
  </cols>
  <sheetData>
    <row r="1" spans="1:4" ht="19" thickBot="1" x14ac:dyDescent="0.7">
      <c r="A1" s="38"/>
      <c r="B1" s="87"/>
      <c r="C1" s="87"/>
      <c r="D1" s="14"/>
    </row>
    <row r="2" spans="1:4" ht="19" thickBot="1" x14ac:dyDescent="0.7">
      <c r="A2" s="29" t="s">
        <v>20</v>
      </c>
      <c r="B2" s="85" t="s">
        <v>60</v>
      </c>
      <c r="C2" s="86"/>
      <c r="D2" s="13"/>
    </row>
    <row r="3" spans="1:4" ht="39" thickBot="1" x14ac:dyDescent="0.7">
      <c r="A3" s="29" t="s">
        <v>21</v>
      </c>
      <c r="B3" s="36" t="s">
        <v>61</v>
      </c>
      <c r="C3" s="37"/>
      <c r="D3" s="13"/>
    </row>
    <row r="4" spans="1:4" ht="19" thickBot="1" x14ac:dyDescent="0.7">
      <c r="A4" s="29" t="s">
        <v>22</v>
      </c>
      <c r="B4" s="85"/>
      <c r="C4" s="86"/>
      <c r="D4" s="12"/>
    </row>
    <row r="5" spans="1:4" x14ac:dyDescent="0.65">
      <c r="A5" s="26" t="s">
        <v>6</v>
      </c>
      <c r="B5" s="27" t="s">
        <v>4</v>
      </c>
      <c r="C5" s="28" t="s">
        <v>5</v>
      </c>
      <c r="D5" s="13"/>
    </row>
    <row r="6" spans="1:4" x14ac:dyDescent="0.65">
      <c r="A6" s="21"/>
      <c r="B6" s="15"/>
      <c r="C6" s="16"/>
      <c r="D6" s="12"/>
    </row>
    <row r="7" spans="1:4" x14ac:dyDescent="0.65">
      <c r="A7" s="22"/>
      <c r="B7" s="17"/>
      <c r="C7" s="18"/>
      <c r="D7" s="12"/>
    </row>
    <row r="8" spans="1:4" x14ac:dyDescent="0.65">
      <c r="A8" s="22"/>
      <c r="B8" s="17"/>
      <c r="C8" s="18"/>
      <c r="D8" s="12"/>
    </row>
    <row r="9" spans="1:4" ht="19" thickBot="1" x14ac:dyDescent="0.7">
      <c r="A9" s="23"/>
      <c r="B9" s="19"/>
      <c r="C9" s="20"/>
      <c r="D9" s="12"/>
    </row>
    <row r="10" spans="1:4" ht="19" thickBot="1" x14ac:dyDescent="0.7">
      <c r="A10" s="29" t="s">
        <v>23</v>
      </c>
      <c r="B10" s="85"/>
      <c r="C10" s="86"/>
      <c r="D10" s="13"/>
    </row>
    <row r="11" spans="1:4" x14ac:dyDescent="0.65">
      <c r="A11" s="30" t="s">
        <v>6</v>
      </c>
      <c r="B11" s="31" t="s">
        <v>4</v>
      </c>
      <c r="C11" s="32" t="s">
        <v>5</v>
      </c>
      <c r="D11" s="12"/>
    </row>
    <row r="12" spans="1:4" x14ac:dyDescent="0.65">
      <c r="A12" s="21"/>
      <c r="B12" s="15"/>
      <c r="C12" s="16"/>
      <c r="D12" s="12"/>
    </row>
    <row r="13" spans="1:4" x14ac:dyDescent="0.65">
      <c r="A13" s="22"/>
      <c r="B13" s="17"/>
      <c r="C13" s="18"/>
      <c r="D13" s="12"/>
    </row>
    <row r="14" spans="1:4" ht="19" thickBot="1" x14ac:dyDescent="0.7">
      <c r="A14" s="23"/>
      <c r="B14" s="19" t="s">
        <v>12</v>
      </c>
      <c r="C14" s="20"/>
      <c r="D14" s="12"/>
    </row>
    <row r="15" spans="1:4" ht="32" thickBot="1" x14ac:dyDescent="0.7">
      <c r="A15" s="33" t="s">
        <v>24</v>
      </c>
      <c r="B15" s="88" t="s">
        <v>8</v>
      </c>
      <c r="C15" s="89"/>
      <c r="D15" s="13"/>
    </row>
    <row r="16" spans="1:4" x14ac:dyDescent="0.65">
      <c r="A16" s="30" t="s">
        <v>7</v>
      </c>
      <c r="B16" s="31" t="s">
        <v>4</v>
      </c>
      <c r="C16" s="32" t="s">
        <v>5</v>
      </c>
      <c r="D16" s="12"/>
    </row>
    <row r="17" spans="1:24" ht="24.75" customHeight="1" x14ac:dyDescent="0.65">
      <c r="A17" s="22" t="s">
        <v>62</v>
      </c>
      <c r="B17" s="17" t="s">
        <v>63</v>
      </c>
      <c r="C17" s="18">
        <v>0.1</v>
      </c>
      <c r="D17" s="12"/>
    </row>
    <row r="18" spans="1:24" ht="34.5" customHeight="1" thickBot="1" x14ac:dyDescent="0.7">
      <c r="A18" s="23"/>
      <c r="B18" s="19"/>
      <c r="C18" s="20"/>
      <c r="D18" s="12"/>
    </row>
    <row r="19" spans="1:24" ht="19" thickBot="1" x14ac:dyDescent="0.7">
      <c r="A19" s="33" t="s">
        <v>25</v>
      </c>
      <c r="B19" s="90" t="s">
        <v>9</v>
      </c>
      <c r="C19" s="91"/>
      <c r="D19" s="12"/>
    </row>
    <row r="20" spans="1:24" s="2" customFormat="1" ht="30.75" customHeight="1" thickBot="1" x14ac:dyDescent="0.7">
      <c r="A20" s="34" t="s">
        <v>11</v>
      </c>
      <c r="B20" s="35" t="s">
        <v>10</v>
      </c>
      <c r="C20" s="25"/>
      <c r="D20" s="12"/>
      <c r="E20"/>
      <c r="F20"/>
      <c r="G20"/>
      <c r="H20"/>
      <c r="I20"/>
      <c r="J20"/>
      <c r="K20"/>
      <c r="L20"/>
      <c r="M20"/>
      <c r="N20"/>
      <c r="O20"/>
      <c r="P20"/>
    </row>
    <row r="21" spans="1:24" s="2" customFormat="1" ht="24.75" customHeight="1" x14ac:dyDescent="0.65">
      <c r="A21" s="39" t="s">
        <v>64</v>
      </c>
      <c r="B21" s="96" t="s">
        <v>65</v>
      </c>
      <c r="C21" s="97"/>
      <c r="D21" s="12"/>
      <c r="E21"/>
      <c r="F21"/>
      <c r="G21"/>
      <c r="H21"/>
      <c r="I21"/>
      <c r="J21"/>
      <c r="K21"/>
      <c r="L21"/>
      <c r="M21"/>
      <c r="N21"/>
      <c r="O21"/>
      <c r="P21"/>
    </row>
    <row r="22" spans="1:24" s="2" customFormat="1" ht="17.25" customHeight="1" x14ac:dyDescent="0.65">
      <c r="A22" s="40"/>
      <c r="B22" s="41"/>
      <c r="C22" s="42"/>
      <c r="D22" s="12"/>
      <c r="E22"/>
      <c r="F22"/>
      <c r="G22"/>
      <c r="H22"/>
      <c r="I22"/>
      <c r="J22"/>
      <c r="K22"/>
      <c r="L22"/>
      <c r="M22"/>
      <c r="N22"/>
      <c r="O22"/>
      <c r="P22"/>
    </row>
    <row r="23" spans="1:24" s="2" customFormat="1" ht="15.75" customHeight="1" thickBot="1" x14ac:dyDescent="0.7">
      <c r="A23" s="24"/>
      <c r="B23" s="92" t="s">
        <v>12</v>
      </c>
      <c r="C23" s="93"/>
      <c r="D23" s="12"/>
      <c r="E23"/>
      <c r="F23"/>
      <c r="G23"/>
      <c r="H23"/>
      <c r="I23"/>
      <c r="J23"/>
      <c r="K23"/>
      <c r="L23"/>
      <c r="M23"/>
      <c r="N23"/>
      <c r="O23"/>
      <c r="P23"/>
    </row>
    <row r="24" spans="1:24" ht="60.75" customHeight="1" thickBot="1" x14ac:dyDescent="0.7">
      <c r="A24" s="33" t="s">
        <v>26</v>
      </c>
      <c r="B24" s="94"/>
      <c r="C24" s="95"/>
      <c r="D24" s="12"/>
    </row>
    <row r="25" spans="1:24" ht="31.5" customHeight="1" thickBot="1" x14ac:dyDescent="0.7">
      <c r="A25" s="43" t="s">
        <v>27</v>
      </c>
      <c r="B25" s="83"/>
      <c r="C25" s="84"/>
      <c r="D25" s="3"/>
    </row>
    <row r="26" spans="1:24" s="2" customFormat="1" ht="30.75" customHeight="1" x14ac:dyDescent="0.65">
      <c r="A26"/>
      <c r="B26"/>
      <c r="C26"/>
      <c r="D26"/>
      <c r="E26"/>
      <c r="F26"/>
      <c r="G26"/>
      <c r="H26"/>
      <c r="I26"/>
      <c r="J26"/>
      <c r="K26"/>
      <c r="L26"/>
      <c r="M26"/>
      <c r="N26"/>
      <c r="O26"/>
    </row>
    <row r="27" spans="1:24" s="2" customFormat="1" ht="30.75" customHeight="1" x14ac:dyDescent="0.65">
      <c r="A27"/>
      <c r="B27"/>
      <c r="C27"/>
      <c r="D27"/>
      <c r="E27"/>
      <c r="F27"/>
      <c r="G27"/>
      <c r="H27"/>
      <c r="I27"/>
      <c r="J27"/>
      <c r="K27"/>
      <c r="L27"/>
      <c r="M27"/>
      <c r="N27"/>
      <c r="O27"/>
    </row>
    <row r="28" spans="1:24" s="2" customFormat="1" ht="23.25" customHeight="1" x14ac:dyDescent="0.65">
      <c r="A28"/>
      <c r="B28"/>
      <c r="C28"/>
      <c r="D28"/>
      <c r="E28"/>
      <c r="F28"/>
      <c r="G28"/>
      <c r="H28"/>
      <c r="I28"/>
      <c r="J28"/>
      <c r="K28"/>
      <c r="L28"/>
      <c r="M28"/>
      <c r="N28"/>
      <c r="O28"/>
    </row>
    <row r="29" spans="1:24" ht="16.5" customHeight="1" x14ac:dyDescent="0.65"/>
    <row r="30" spans="1:24" x14ac:dyDescent="0.65">
      <c r="A30" s="3"/>
      <c r="B30" s="3"/>
      <c r="C30" s="3"/>
      <c r="D30" s="3"/>
    </row>
    <row r="31" spans="1:24" s="2" customFormat="1" ht="39" customHeight="1" x14ac:dyDescent="0.65">
      <c r="A31" s="3"/>
      <c r="B31" s="3"/>
      <c r="C31" s="3"/>
      <c r="D31" s="3"/>
      <c r="E31"/>
      <c r="F31"/>
      <c r="G31"/>
      <c r="H31"/>
      <c r="I31"/>
      <c r="J31"/>
      <c r="K31"/>
      <c r="L31"/>
      <c r="M31"/>
      <c r="N31"/>
      <c r="O31"/>
      <c r="P31"/>
      <c r="Q31"/>
      <c r="R31"/>
      <c r="S31"/>
      <c r="T31"/>
      <c r="U31"/>
      <c r="V31"/>
      <c r="W31"/>
      <c r="X31"/>
    </row>
    <row r="32" spans="1:24" s="2" customFormat="1" ht="39" customHeight="1" x14ac:dyDescent="0.65">
      <c r="A32"/>
      <c r="B32"/>
      <c r="C32"/>
      <c r="D32"/>
      <c r="E32"/>
      <c r="F32"/>
      <c r="G32"/>
      <c r="H32"/>
      <c r="I32"/>
      <c r="J32"/>
      <c r="K32"/>
      <c r="L32"/>
      <c r="M32"/>
      <c r="N32"/>
      <c r="O32"/>
      <c r="P32"/>
      <c r="Q32"/>
      <c r="R32"/>
      <c r="S32"/>
      <c r="T32"/>
      <c r="U32"/>
      <c r="V32"/>
      <c r="W32"/>
      <c r="X32"/>
    </row>
    <row r="33" spans="1:24" s="2" customFormat="1" ht="36.75" customHeight="1" x14ac:dyDescent="0.65">
      <c r="A33"/>
      <c r="B33"/>
      <c r="C33"/>
      <c r="D33"/>
      <c r="E33"/>
      <c r="F33"/>
      <c r="G33"/>
      <c r="H33"/>
      <c r="I33"/>
      <c r="J33"/>
      <c r="K33"/>
      <c r="L33"/>
      <c r="M33"/>
      <c r="N33"/>
      <c r="O33"/>
      <c r="P33"/>
      <c r="Q33"/>
      <c r="R33"/>
      <c r="S33"/>
      <c r="T33"/>
      <c r="U33"/>
      <c r="V33"/>
      <c r="W33"/>
      <c r="X33"/>
    </row>
    <row r="34" spans="1:24" x14ac:dyDescent="0.65">
      <c r="A34" s="3"/>
    </row>
    <row r="36" spans="1:24" ht="15.75" customHeight="1" x14ac:dyDescent="0.65"/>
    <row r="37" spans="1:24" x14ac:dyDescent="0.65">
      <c r="B37" s="3"/>
      <c r="C37" s="3"/>
      <c r="D37" s="3"/>
    </row>
    <row r="38" spans="1:24" ht="38.25" customHeight="1" x14ac:dyDescent="0.65">
      <c r="B38" s="3"/>
      <c r="C38" s="3"/>
      <c r="D38" s="3"/>
    </row>
    <row r="39" spans="1:24" x14ac:dyDescent="0.65">
      <c r="D39" s="3"/>
    </row>
    <row r="40" spans="1:24" x14ac:dyDescent="0.65">
      <c r="A40" s="3"/>
      <c r="B40" s="3"/>
      <c r="C40" s="3"/>
      <c r="D40" s="3"/>
    </row>
    <row r="41" spans="1:24" x14ac:dyDescent="0.65">
      <c r="A41" s="3"/>
      <c r="B41" s="3"/>
      <c r="C41" s="3"/>
      <c r="D41" s="3"/>
    </row>
  </sheetData>
  <mergeCells count="10">
    <mergeCell ref="B25:C25"/>
    <mergeCell ref="B2:C2"/>
    <mergeCell ref="B4:C4"/>
    <mergeCell ref="B10:C10"/>
    <mergeCell ref="B1:C1"/>
    <mergeCell ref="B15:C15"/>
    <mergeCell ref="B19:C19"/>
    <mergeCell ref="B23:C23"/>
    <mergeCell ref="B24:C24"/>
    <mergeCell ref="B21:C2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6969C-7747-4042-97F0-C96FA4310CC9}">
  <sheetPr codeName="Sheet5"/>
  <dimension ref="A2:G49"/>
  <sheetViews>
    <sheetView topLeftCell="A28" workbookViewId="0">
      <selection activeCell="G35" sqref="G35"/>
    </sheetView>
  </sheetViews>
  <sheetFormatPr defaultRowHeight="18.5" x14ac:dyDescent="0.65"/>
  <cols>
    <col min="1" max="1" width="35.1796875" customWidth="1"/>
    <col min="2" max="2" width="20" customWidth="1"/>
    <col min="3" max="3" width="14.7265625" customWidth="1"/>
    <col min="5" max="5" width="31.1796875" customWidth="1"/>
  </cols>
  <sheetData>
    <row r="2" spans="1:5" x14ac:dyDescent="0.65">
      <c r="A2" s="1" t="s">
        <v>13</v>
      </c>
      <c r="B2" s="1"/>
      <c r="C2" s="1"/>
      <c r="D2" s="1"/>
      <c r="E2" s="1"/>
    </row>
    <row r="3" spans="1:5" x14ac:dyDescent="0.65">
      <c r="A3" s="98"/>
      <c r="B3" s="98"/>
      <c r="C3" s="98"/>
      <c r="D3" s="98"/>
      <c r="E3" s="98"/>
    </row>
    <row r="4" spans="1:5" x14ac:dyDescent="0.65">
      <c r="A4" s="98"/>
      <c r="B4" s="98"/>
      <c r="C4" s="98"/>
      <c r="D4" s="98"/>
      <c r="E4" s="98"/>
    </row>
    <row r="5" spans="1:5" x14ac:dyDescent="0.65">
      <c r="A5" s="98"/>
      <c r="B5" s="98"/>
      <c r="C5" s="98"/>
      <c r="D5" s="98"/>
      <c r="E5" s="98"/>
    </row>
    <row r="6" spans="1:5" x14ac:dyDescent="0.65">
      <c r="A6" s="98"/>
      <c r="B6" s="98"/>
      <c r="C6" s="98"/>
      <c r="D6" s="98"/>
      <c r="E6" s="98"/>
    </row>
    <row r="7" spans="1:5" x14ac:dyDescent="0.65">
      <c r="A7" s="98"/>
      <c r="B7" s="98"/>
      <c r="C7" s="98"/>
      <c r="D7" s="98"/>
      <c r="E7" s="98"/>
    </row>
    <row r="8" spans="1:5" x14ac:dyDescent="0.65">
      <c r="A8" s="98"/>
      <c r="B8" s="98"/>
      <c r="C8" s="98"/>
      <c r="D8" s="98"/>
      <c r="E8" s="98"/>
    </row>
    <row r="9" spans="1:5" x14ac:dyDescent="0.65">
      <c r="A9" s="98"/>
      <c r="B9" s="98"/>
      <c r="C9" s="98"/>
      <c r="D9" s="98"/>
      <c r="E9" s="98"/>
    </row>
    <row r="10" spans="1:5" x14ac:dyDescent="0.65">
      <c r="A10" s="98"/>
      <c r="B10" s="98"/>
      <c r="C10" s="98"/>
      <c r="D10" s="98"/>
      <c r="E10" s="98"/>
    </row>
    <row r="11" spans="1:5" x14ac:dyDescent="0.65">
      <c r="A11" s="98"/>
      <c r="B11" s="98"/>
      <c r="C11" s="98"/>
      <c r="D11" s="98"/>
      <c r="E11" s="98"/>
    </row>
    <row r="12" spans="1:5" x14ac:dyDescent="0.65">
      <c r="A12" s="98"/>
      <c r="B12" s="98"/>
      <c r="C12" s="98"/>
      <c r="D12" s="98"/>
      <c r="E12" s="98"/>
    </row>
    <row r="13" spans="1:5" x14ac:dyDescent="0.65">
      <c r="A13" s="98"/>
      <c r="B13" s="98"/>
      <c r="C13" s="98"/>
      <c r="D13" s="98"/>
      <c r="E13" s="98"/>
    </row>
    <row r="14" spans="1:5" x14ac:dyDescent="0.65">
      <c r="A14" s="98"/>
      <c r="B14" s="98"/>
      <c r="C14" s="98"/>
      <c r="D14" s="98"/>
      <c r="E14" s="98"/>
    </row>
    <row r="15" spans="1:5" x14ac:dyDescent="0.65">
      <c r="A15" s="98"/>
      <c r="B15" s="98"/>
      <c r="C15" s="98"/>
      <c r="D15" s="98"/>
      <c r="E15" s="98"/>
    </row>
    <row r="16" spans="1:5" x14ac:dyDescent="0.65">
      <c r="A16" s="98"/>
      <c r="B16" s="98"/>
      <c r="C16" s="98"/>
      <c r="D16" s="98"/>
      <c r="E16" s="98"/>
    </row>
    <row r="17" spans="1:7" x14ac:dyDescent="0.65">
      <c r="A17" s="98"/>
      <c r="B17" s="98"/>
      <c r="C17" s="98"/>
      <c r="D17" s="98"/>
      <c r="E17" s="98"/>
    </row>
    <row r="18" spans="1:7" x14ac:dyDescent="0.65">
      <c r="A18" s="98"/>
      <c r="B18" s="98"/>
      <c r="C18" s="98"/>
      <c r="D18" s="98"/>
      <c r="E18" s="98"/>
    </row>
    <row r="19" spans="1:7" x14ac:dyDescent="0.65">
      <c r="A19" s="98"/>
      <c r="B19" s="98"/>
      <c r="C19" s="98"/>
      <c r="D19" s="98"/>
      <c r="E19" s="98"/>
      <c r="G19" s="10"/>
    </row>
    <row r="20" spans="1:7" x14ac:dyDescent="0.65">
      <c r="A20" s="98"/>
      <c r="B20" s="98"/>
      <c r="C20" s="98"/>
      <c r="D20" s="98"/>
      <c r="E20" s="98"/>
    </row>
    <row r="21" spans="1:7" x14ac:dyDescent="0.65">
      <c r="A21" s="98"/>
      <c r="B21" s="98"/>
      <c r="C21" s="98"/>
      <c r="D21" s="98"/>
      <c r="E21" s="98"/>
    </row>
    <row r="22" spans="1:7" x14ac:dyDescent="0.65">
      <c r="A22" s="98"/>
      <c r="B22" s="98"/>
      <c r="C22" s="98"/>
      <c r="D22" s="98"/>
      <c r="E22" s="98"/>
    </row>
    <row r="23" spans="1:7" x14ac:dyDescent="0.65">
      <c r="A23" s="98"/>
      <c r="B23" s="98"/>
      <c r="C23" s="98"/>
      <c r="D23" s="98"/>
      <c r="E23" s="98"/>
    </row>
    <row r="24" spans="1:7" x14ac:dyDescent="0.65">
      <c r="A24" s="98"/>
      <c r="B24" s="98"/>
      <c r="C24" s="98"/>
      <c r="D24" s="98"/>
      <c r="E24" s="98"/>
    </row>
    <row r="25" spans="1:7" x14ac:dyDescent="0.65">
      <c r="A25" s="98"/>
      <c r="B25" s="98"/>
      <c r="C25" s="98"/>
      <c r="D25" s="98"/>
      <c r="E25" s="98"/>
    </row>
    <row r="26" spans="1:7" x14ac:dyDescent="0.65">
      <c r="A26" s="1" t="s">
        <v>14</v>
      </c>
      <c r="B26" s="1"/>
      <c r="C26" s="1"/>
      <c r="D26" s="1"/>
      <c r="E26" s="1"/>
    </row>
    <row r="27" spans="1:7" x14ac:dyDescent="0.65">
      <c r="A27" s="98"/>
      <c r="B27" s="98"/>
      <c r="C27" s="98"/>
      <c r="D27" s="98"/>
      <c r="E27" s="98"/>
    </row>
    <row r="28" spans="1:7" x14ac:dyDescent="0.65">
      <c r="A28" s="98"/>
      <c r="B28" s="98"/>
      <c r="C28" s="98"/>
      <c r="D28" s="98"/>
      <c r="E28" s="98"/>
    </row>
    <row r="29" spans="1:7" x14ac:dyDescent="0.65">
      <c r="A29" s="98"/>
      <c r="B29" s="98"/>
      <c r="C29" s="98"/>
      <c r="D29" s="98"/>
      <c r="E29" s="98"/>
    </row>
    <row r="30" spans="1:7" x14ac:dyDescent="0.65">
      <c r="A30" s="98"/>
      <c r="B30" s="98"/>
      <c r="C30" s="98"/>
      <c r="D30" s="98"/>
      <c r="E30" s="98"/>
    </row>
    <row r="31" spans="1:7" x14ac:dyDescent="0.65">
      <c r="A31" s="98"/>
      <c r="B31" s="98"/>
      <c r="C31" s="98"/>
      <c r="D31" s="98"/>
      <c r="E31" s="98"/>
    </row>
    <row r="32" spans="1:7" x14ac:dyDescent="0.65">
      <c r="A32" s="98"/>
      <c r="B32" s="98"/>
      <c r="C32" s="98"/>
      <c r="D32" s="98"/>
      <c r="E32" s="98"/>
    </row>
    <row r="33" spans="1:5" x14ac:dyDescent="0.65">
      <c r="A33" s="98"/>
      <c r="B33" s="98"/>
      <c r="C33" s="98"/>
      <c r="D33" s="98"/>
      <c r="E33" s="98"/>
    </row>
    <row r="34" spans="1:5" x14ac:dyDescent="0.65">
      <c r="A34" s="98"/>
      <c r="B34" s="98"/>
      <c r="C34" s="98"/>
      <c r="D34" s="98"/>
      <c r="E34" s="98"/>
    </row>
    <row r="35" spans="1:5" x14ac:dyDescent="0.65">
      <c r="A35" s="98"/>
      <c r="B35" s="98"/>
      <c r="C35" s="98"/>
      <c r="D35" s="98"/>
      <c r="E35" s="98"/>
    </row>
    <row r="36" spans="1:5" x14ac:dyDescent="0.65">
      <c r="A36" s="98"/>
      <c r="B36" s="98"/>
      <c r="C36" s="98"/>
      <c r="D36" s="98"/>
      <c r="E36" s="98"/>
    </row>
    <row r="37" spans="1:5" x14ac:dyDescent="0.65">
      <c r="A37" s="98"/>
      <c r="B37" s="98"/>
      <c r="C37" s="98"/>
      <c r="D37" s="98"/>
      <c r="E37" s="98"/>
    </row>
    <row r="38" spans="1:5" x14ac:dyDescent="0.65">
      <c r="A38" s="98"/>
      <c r="B38" s="98"/>
      <c r="C38" s="98"/>
      <c r="D38" s="98"/>
      <c r="E38" s="98"/>
    </row>
    <row r="39" spans="1:5" x14ac:dyDescent="0.65">
      <c r="A39" s="98"/>
      <c r="B39" s="98"/>
      <c r="C39" s="98"/>
      <c r="D39" s="98"/>
      <c r="E39" s="98"/>
    </row>
    <row r="40" spans="1:5" x14ac:dyDescent="0.65">
      <c r="A40" s="98"/>
      <c r="B40" s="98"/>
      <c r="C40" s="98"/>
      <c r="D40" s="98"/>
      <c r="E40" s="98"/>
    </row>
    <row r="41" spans="1:5" x14ac:dyDescent="0.65">
      <c r="A41" s="98"/>
      <c r="B41" s="98"/>
      <c r="C41" s="98"/>
      <c r="D41" s="98"/>
      <c r="E41" s="98"/>
    </row>
    <row r="42" spans="1:5" x14ac:dyDescent="0.65">
      <c r="A42" s="98"/>
      <c r="B42" s="98"/>
      <c r="C42" s="98"/>
      <c r="D42" s="98"/>
      <c r="E42" s="98"/>
    </row>
    <row r="43" spans="1:5" x14ac:dyDescent="0.65">
      <c r="A43" s="98"/>
      <c r="B43" s="98"/>
      <c r="C43" s="98"/>
      <c r="D43" s="98"/>
      <c r="E43" s="98"/>
    </row>
    <row r="44" spans="1:5" x14ac:dyDescent="0.65">
      <c r="A44" s="98"/>
      <c r="B44" s="98"/>
      <c r="C44" s="98"/>
      <c r="D44" s="98"/>
      <c r="E44" s="98"/>
    </row>
    <row r="45" spans="1:5" x14ac:dyDescent="0.65">
      <c r="A45" s="98"/>
      <c r="B45" s="98"/>
      <c r="C45" s="98"/>
      <c r="D45" s="98"/>
      <c r="E45" s="98"/>
    </row>
    <row r="46" spans="1:5" x14ac:dyDescent="0.65">
      <c r="A46" s="98"/>
      <c r="B46" s="98"/>
      <c r="C46" s="98"/>
      <c r="D46" s="98"/>
      <c r="E46" s="98"/>
    </row>
    <row r="47" spans="1:5" x14ac:dyDescent="0.65">
      <c r="A47" s="98"/>
      <c r="B47" s="98"/>
      <c r="C47" s="98"/>
      <c r="D47" s="98"/>
      <c r="E47" s="98"/>
    </row>
    <row r="48" spans="1:5" x14ac:dyDescent="0.65">
      <c r="A48" s="98"/>
      <c r="B48" s="98"/>
      <c r="C48" s="98"/>
      <c r="D48" s="98"/>
      <c r="E48" s="98"/>
    </row>
    <row r="49" spans="1:5" x14ac:dyDescent="0.65">
      <c r="A49" s="98"/>
      <c r="B49" s="98"/>
      <c r="C49" s="98"/>
      <c r="D49" s="98"/>
      <c r="E49" s="98"/>
    </row>
  </sheetData>
  <mergeCells count="2">
    <mergeCell ref="A3:E25"/>
    <mergeCell ref="A27:E49"/>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14"/>
  <sheetViews>
    <sheetView zoomScaleNormal="100" workbookViewId="0">
      <pane ySplit="1" topLeftCell="A4" activePane="bottomLeft" state="frozen"/>
      <selection pane="bottomLeft" activeCell="H4" sqref="H4"/>
    </sheetView>
  </sheetViews>
  <sheetFormatPr defaultColWidth="9.1796875" defaultRowHeight="18.5" x14ac:dyDescent="0.65"/>
  <cols>
    <col min="1" max="1" width="27" style="54" customWidth="1"/>
    <col min="2" max="2" width="15.453125" style="54" customWidth="1"/>
    <col min="3" max="3" width="74.6328125" style="54" customWidth="1"/>
    <col min="4" max="4" width="12.54296875" style="54" customWidth="1"/>
    <col min="5" max="8" width="9.1796875" style="54"/>
    <col min="9" max="9" width="20.81640625" style="54" customWidth="1"/>
    <col min="10" max="16384" width="9.1796875" style="54"/>
  </cols>
  <sheetData>
    <row r="1" spans="1:10" ht="42" customHeight="1" x14ac:dyDescent="0.7">
      <c r="A1" s="52" t="s">
        <v>0</v>
      </c>
      <c r="B1" s="52" t="s">
        <v>1</v>
      </c>
      <c r="C1" s="52" t="s">
        <v>51</v>
      </c>
      <c r="D1" s="52" t="s">
        <v>40</v>
      </c>
      <c r="E1" s="52" t="s">
        <v>48</v>
      </c>
      <c r="F1" s="52" t="s">
        <v>39</v>
      </c>
      <c r="G1" s="52" t="s">
        <v>44</v>
      </c>
      <c r="H1" s="52" t="s">
        <v>2</v>
      </c>
      <c r="I1" s="52" t="s">
        <v>3</v>
      </c>
    </row>
    <row r="2" spans="1:10" ht="191.5" customHeight="1" x14ac:dyDescent="0.65">
      <c r="A2" s="60" t="s">
        <v>76</v>
      </c>
      <c r="B2" s="60" t="s">
        <v>45</v>
      </c>
      <c r="C2" s="61"/>
      <c r="D2" s="62" t="s">
        <v>70</v>
      </c>
      <c r="E2" s="62"/>
      <c r="F2" s="62" t="s">
        <v>73</v>
      </c>
      <c r="G2" s="62" t="s">
        <v>74</v>
      </c>
      <c r="H2" s="62" t="s">
        <v>91</v>
      </c>
      <c r="I2" s="62"/>
      <c r="J2" s="51"/>
    </row>
    <row r="3" spans="1:10" ht="213.5" customHeight="1" x14ac:dyDescent="0.65">
      <c r="A3" s="60" t="s">
        <v>77</v>
      </c>
      <c r="B3" s="60" t="s">
        <v>45</v>
      </c>
      <c r="C3" s="61"/>
      <c r="D3" s="62" t="s">
        <v>70</v>
      </c>
      <c r="E3" s="62"/>
      <c r="F3" s="62" t="s">
        <v>73</v>
      </c>
      <c r="G3" s="62" t="s">
        <v>74</v>
      </c>
      <c r="H3" s="62" t="s">
        <v>91</v>
      </c>
      <c r="I3" s="62"/>
      <c r="J3" s="51"/>
    </row>
    <row r="4" spans="1:10" ht="245.5" customHeight="1" x14ac:dyDescent="0.65">
      <c r="A4" s="60" t="s">
        <v>78</v>
      </c>
      <c r="B4" s="60" t="s">
        <v>45</v>
      </c>
      <c r="C4" s="61"/>
      <c r="D4" s="62" t="s">
        <v>71</v>
      </c>
      <c r="E4" s="62"/>
      <c r="F4" s="62" t="s">
        <v>73</v>
      </c>
      <c r="G4" s="62" t="s">
        <v>74</v>
      </c>
      <c r="H4" s="62" t="s">
        <v>91</v>
      </c>
      <c r="I4" s="63"/>
    </row>
    <row r="5" spans="1:10" ht="281" customHeight="1" x14ac:dyDescent="0.65">
      <c r="A5" s="60" t="s">
        <v>79</v>
      </c>
      <c r="B5" s="60" t="s">
        <v>45</v>
      </c>
      <c r="C5" s="61"/>
      <c r="D5" s="62" t="s">
        <v>71</v>
      </c>
      <c r="E5" s="63"/>
      <c r="F5" s="62" t="s">
        <v>73</v>
      </c>
      <c r="G5" s="62" t="s">
        <v>74</v>
      </c>
      <c r="H5" s="62" t="s">
        <v>91</v>
      </c>
      <c r="I5" s="63"/>
    </row>
    <row r="6" spans="1:10" ht="299.5" customHeight="1" x14ac:dyDescent="0.65">
      <c r="A6" s="60" t="s">
        <v>80</v>
      </c>
      <c r="B6" s="60" t="s">
        <v>45</v>
      </c>
      <c r="C6" s="61"/>
      <c r="D6" s="62" t="s">
        <v>71</v>
      </c>
      <c r="E6" s="63"/>
      <c r="F6" s="62" t="s">
        <v>73</v>
      </c>
      <c r="G6" s="62" t="s">
        <v>74</v>
      </c>
      <c r="H6" s="62" t="s">
        <v>91</v>
      </c>
      <c r="I6" s="63"/>
    </row>
    <row r="7" spans="1:10" ht="223" customHeight="1" x14ac:dyDescent="0.65">
      <c r="A7" s="63" t="s">
        <v>81</v>
      </c>
      <c r="B7" s="64" t="s">
        <v>45</v>
      </c>
      <c r="C7" s="61"/>
      <c r="D7" s="63"/>
      <c r="E7" s="63"/>
      <c r="F7" s="62" t="s">
        <v>73</v>
      </c>
      <c r="G7" s="62" t="s">
        <v>74</v>
      </c>
      <c r="H7" s="62" t="s">
        <v>91</v>
      </c>
      <c r="I7" s="63"/>
    </row>
    <row r="8" spans="1:10" ht="150" customHeight="1" x14ac:dyDescent="0.65">
      <c r="A8" s="63" t="s">
        <v>82</v>
      </c>
      <c r="B8" s="64" t="s">
        <v>45</v>
      </c>
      <c r="C8" s="61"/>
      <c r="D8" s="63"/>
      <c r="E8" s="63"/>
      <c r="F8" s="62" t="s">
        <v>73</v>
      </c>
      <c r="G8" s="62" t="s">
        <v>74</v>
      </c>
      <c r="H8" s="62" t="s">
        <v>91</v>
      </c>
      <c r="I8" s="63"/>
    </row>
    <row r="9" spans="1:10" ht="219" customHeight="1" x14ac:dyDescent="0.65">
      <c r="A9" s="63" t="s">
        <v>83</v>
      </c>
      <c r="B9" s="64" t="s">
        <v>45</v>
      </c>
      <c r="C9" s="61"/>
      <c r="D9" s="63"/>
      <c r="E9" s="63"/>
      <c r="F9" s="62" t="s">
        <v>73</v>
      </c>
      <c r="G9" s="62" t="s">
        <v>74</v>
      </c>
      <c r="H9" s="62" t="s">
        <v>91</v>
      </c>
      <c r="I9" s="63"/>
    </row>
    <row r="10" spans="1:10" ht="210" customHeight="1" x14ac:dyDescent="0.65">
      <c r="A10" s="63" t="s">
        <v>84</v>
      </c>
      <c r="B10" s="64" t="s">
        <v>45</v>
      </c>
      <c r="C10" s="61"/>
      <c r="D10" s="63"/>
      <c r="E10" s="63"/>
      <c r="F10" s="62" t="s">
        <v>73</v>
      </c>
      <c r="G10" s="62" t="s">
        <v>74</v>
      </c>
      <c r="H10" s="62" t="s">
        <v>91</v>
      </c>
      <c r="I10" s="63"/>
    </row>
    <row r="11" spans="1:10" ht="234.5" customHeight="1" x14ac:dyDescent="0.65">
      <c r="A11" s="63" t="s">
        <v>88</v>
      </c>
      <c r="B11" s="64" t="s">
        <v>45</v>
      </c>
      <c r="C11" s="61"/>
      <c r="D11" s="63"/>
      <c r="E11" s="63"/>
      <c r="F11" s="62" t="s">
        <v>73</v>
      </c>
      <c r="G11" s="62" t="s">
        <v>74</v>
      </c>
      <c r="H11" s="62" t="s">
        <v>91</v>
      </c>
      <c r="I11" s="63"/>
    </row>
    <row r="12" spans="1:10" x14ac:dyDescent="0.65">
      <c r="A12" s="63" t="s">
        <v>85</v>
      </c>
      <c r="B12" s="64" t="s">
        <v>45</v>
      </c>
      <c r="C12" s="63" t="s">
        <v>72</v>
      </c>
      <c r="D12" s="63"/>
      <c r="E12" s="63"/>
      <c r="F12" s="62" t="s">
        <v>73</v>
      </c>
      <c r="G12" s="62" t="s">
        <v>74</v>
      </c>
      <c r="H12" s="62" t="s">
        <v>91</v>
      </c>
      <c r="I12" s="63"/>
    </row>
    <row r="13" spans="1:10" ht="74" x14ac:dyDescent="0.65">
      <c r="A13" s="63" t="s">
        <v>89</v>
      </c>
      <c r="B13" s="64" t="s">
        <v>45</v>
      </c>
      <c r="C13" s="63" t="s">
        <v>90</v>
      </c>
      <c r="D13" s="63"/>
      <c r="E13" s="63"/>
      <c r="F13" s="62" t="s">
        <v>73</v>
      </c>
      <c r="G13" s="62" t="s">
        <v>74</v>
      </c>
      <c r="H13" s="62" t="s">
        <v>92</v>
      </c>
      <c r="I13" s="63" t="s">
        <v>93</v>
      </c>
    </row>
    <row r="14" spans="1:10" ht="37" x14ac:dyDescent="0.65">
      <c r="A14" s="63" t="s">
        <v>86</v>
      </c>
      <c r="B14" s="64" t="s">
        <v>45</v>
      </c>
      <c r="C14" s="63" t="s">
        <v>75</v>
      </c>
      <c r="D14" s="63"/>
      <c r="E14" s="63"/>
      <c r="F14" s="62" t="s">
        <v>73</v>
      </c>
      <c r="G14" s="62" t="s">
        <v>74</v>
      </c>
      <c r="H14" s="62" t="s">
        <v>91</v>
      </c>
      <c r="I14" s="63"/>
    </row>
  </sheetData>
  <phoneticPr fontId="16" type="noConversion"/>
  <dataValidations count="5">
    <dataValidation type="list" allowBlank="1" showInputMessage="1" showErrorMessage="1" sqref="D7:D469" xr:uid="{1748578F-7805-4C58-9064-06008AB3887F}">
      <formula1>"MUC_2002_33,MUC_2002_34,MUC_2002_35,MUC_2002_36,MUC_2002_37,MUC_2002_38,MUC_2002_39,MUC_2002_40,"</formula1>
    </dataValidation>
    <dataValidation type="list" allowBlank="1" showInputMessage="1" showErrorMessage="1" sqref="B2:B469" xr:uid="{2236D99F-71E2-470B-BFB3-58296A2DB418}">
      <formula1>INDIRECT("MasterkeysTable[Test Categories]")</formula1>
    </dataValidation>
    <dataValidation type="list" allowBlank="1" showInputMessage="1" showErrorMessage="1" sqref="E4:E469 D4:D6" xr:uid="{7DE57BCC-18D1-49B1-AF75-2AF61D532661}">
      <formula1>INDIRECT("MasterkeysTable[Testable in?]")</formula1>
    </dataValidation>
    <dataValidation type="list" allowBlank="1" showInputMessage="1" showErrorMessage="1" sqref="H15:H469" xr:uid="{8C9B2E35-A585-4F1D-8BE4-88193EAAE751}">
      <formula1>INDIRECT("MasterkeysTable[Status]")</formula1>
    </dataValidation>
    <dataValidation type="list" allowBlank="1" showInputMessage="1" showErrorMessage="1" sqref="F15:G469" xr:uid="{7A1696F4-BC34-4B9F-9F42-943E2C91BC77}">
      <formula1>"Not Applicable,"</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2405-D380-4EEC-BC4C-2C6169252071}">
  <sheetPr codeName="Sheet3"/>
  <dimension ref="A1:C3"/>
  <sheetViews>
    <sheetView workbookViewId="0">
      <selection activeCell="A3" sqref="A3"/>
    </sheetView>
  </sheetViews>
  <sheetFormatPr defaultRowHeight="18.5" x14ac:dyDescent="0.65"/>
  <cols>
    <col min="1" max="1" width="110.26953125" customWidth="1"/>
  </cols>
  <sheetData>
    <row r="1" spans="1:3" ht="306" customHeight="1" x14ac:dyDescent="0.65">
      <c r="A1" s="57"/>
    </row>
    <row r="2" spans="1:3" x14ac:dyDescent="0.65">
      <c r="A2" s="56" t="s">
        <v>46</v>
      </c>
    </row>
    <row r="3" spans="1:3" ht="318" customHeight="1" x14ac:dyDescent="0.65">
      <c r="A3" s="55" t="s">
        <v>47</v>
      </c>
      <c r="C3" s="54"/>
    </row>
  </sheetData>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3C727-F346-4BA0-8E2E-2EE2D89FCAB1}">
  <sheetPr codeName="Sheet1"/>
  <dimension ref="A1"/>
  <sheetViews>
    <sheetView workbookViewId="0">
      <selection activeCell="I8" sqref="I8"/>
    </sheetView>
  </sheetViews>
  <sheetFormatPr defaultRowHeight="18.5" x14ac:dyDescent="0.65"/>
  <cols>
    <col min="1" max="1" width="31.36328125" bestFit="1" customWidth="1"/>
    <col min="2" max="2" width="23" bestFit="1" customWidth="1"/>
    <col min="3" max="3" width="14" bestFit="1" customWidth="1"/>
    <col min="4" max="4" width="8.7265625" bestFit="1" customWidth="1"/>
    <col min="5" max="5" width="17.54296875" bestFit="1" customWidth="1"/>
    <col min="6" max="6" width="14.7265625" bestFit="1" customWidth="1"/>
    <col min="7" max="7" width="17.54296875" bestFit="1" customWidth="1"/>
    <col min="8" max="8" width="14.26953125" bestFit="1" customWidth="1"/>
    <col min="9" max="9" width="17" bestFit="1" customWidth="1"/>
    <col min="10" max="10" width="19.1796875" bestFit="1" customWidth="1"/>
  </cols>
  <sheetData>
    <row r="1" spans="1:1" x14ac:dyDescent="0.65">
      <c r="A1" t="s">
        <v>59</v>
      </c>
    </row>
  </sheetData>
  <dataConsolidate/>
  <phoneticPr fontId="16" type="noConversion"/>
  <pageMargins left="0.7" right="0.7" top="0.75" bottom="0.75" header="0.3" footer="0.3"/>
  <pageSetup orientation="portrait"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F2A17ED-E47D-43ED-A9F1-D9F7F930100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Revision History</vt:lpstr>
      <vt:lpstr>Test Summary</vt:lpstr>
      <vt:lpstr>Introduction</vt:lpstr>
      <vt:lpstr>Test Setup</vt:lpstr>
      <vt:lpstr>Test Cases</vt:lpstr>
      <vt:lpstr>Help</vt:lpstr>
      <vt:lpstr>MasterKeysList</vt:lpstr>
      <vt:lpstr>Introduction!_Toc466384574</vt:lpstr>
      <vt:lpstr>Introduction!_Toc531621199</vt:lpstr>
      <vt:lpstr>Introduction!_Toc531621203</vt:lpstr>
      <vt:lpstr>Introduction!_Toc531621208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Prasanna Vengateshan Varadharajan - I21427</dc:creator>
  <cp:lastModifiedBy>Rathika Kumar - I17043</cp:lastModifiedBy>
  <dcterms:created xsi:type="dcterms:W3CDTF">2018-12-11T05:42:09Z</dcterms:created>
  <dcterms:modified xsi:type="dcterms:W3CDTF">2020-12-01T13:12:21Z</dcterms:modified>
</cp:coreProperties>
</file>